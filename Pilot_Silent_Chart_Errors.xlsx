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About this study" sheetId="1" state="visible" r:id="rId3"/>
    <sheet name="Summary" sheetId="2" state="visible" r:id="rId4"/>
    <sheet name="Questions" sheetId="3" state="visible" r:id="rId5"/>
    <sheet name="Run log" sheetId="4" state="visible" r:id="rId6"/>
    <sheet name="Detection log" sheetId="5" state="visible" r:id="rId7"/>
    <sheet name="People check"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<sst xmlns="http://schemas.openxmlformats.org/spreadsheetml/2006/main" count="1073" uniqueCount="567">
  <si>
    <t xml:space="preserve">Plausible but wrong: silent analytical errors in LLM-generated charts (pilot study)</t>
  </si>
  <si>
    <t xml:space="preserve">Aim</t>
  </si>
  <si>
    <t xml:space="preserve">To measure how often a chatbot turns an underspecified data question into a chart that runs and looks plausible but is analytically wrong, and to test two remedies: asking the model to state its analytical choices before writing code (prevention), and asking the model to check finished code (detection).</t>
  </si>
  <si>
    <t xml:space="preserve">Data</t>
  </si>
  <si>
    <t xml:space="preserve">Our World in Data COVID-19 dataset, final release (data to 14 August 2024): https://raw.githubusercontent.com/owid/covid-19-data/master/public/data/owid-covid-data.csv. The data file is not included; download it from this address to reproduce the analysis.</t>
  </si>
  <si>
    <t xml:space="preserve">Model</t>
  </si>
  <si>
    <t xml:space="preserve">ChatGPT, free plan, default model, with Think and Memory off; every question in a new chat. All logged runs are from 15–16 October 2026.</t>
  </si>
  <si>
    <t xml:space="preserve">Questions</t>
  </si>
  <si>
    <t xml:space="preserve">28 questions: 25 traps (T01–T25), each built around an analytical choice the question leaves open, and 3 fully specified controls (C01–C03). The answer key (Questions sheet, columns C and E–H) was written before any model output was seen and was never shown to the model.</t>
  </si>
  <si>
    <t xml:space="preserve">Step 1 – Baseline</t>
  </si>
  <si>
    <t xml:space="preserve">Each question was sent in a new chat with the baseline prompt (Questions, column I). The returned code was run exactly as written in Jupyter, the chart saved, and the result labelled in the Run log (condition = Baseline).</t>
  </si>
  <si>
    <t xml:space="preserve">Step 2 – State choices</t>
  </si>
  <si>
    <t xml:space="preserve">Each question was sent again in a new chat with the state-choices prompt (column J), which asks the model to list and justify its analytical choices before writing code. Logged in the Run log with condition = State choices. Tests prevention.</t>
  </si>
  <si>
    <t xml:space="preserve">Step 3 – Check afterwards</t>
  </si>
  <si>
    <t xml:space="preserve">Each baseline script was sent in a new chat with the check prompt (column K), which asks whether the chart answers the question correctly and requires a 'Correct' or 'Problem:' verdict. The model was not told the code was its own. Verdicts are recorded in the Detection log. Tests detection.</t>
  </si>
  <si>
    <t xml:space="preserve">Step 4 – People check</t>
  </si>
  <si>
    <t xml:space="preserve">Eight baseline charts (all 4 silent errors and 4 valid charts, in alternating order) were shown with their questions to 5 lay readers, each answering alone and without names recorded: 'Is this chart a correct answer to the question?' Answers are in the People check sheet.</t>
  </si>
  <si>
    <t xml:space="preserve">Labels (Run log)</t>
  </si>
  <si>
    <t xml:space="preserve">Valid = makes an acceptable choice (see 'Valid chart' column).
Valid - choice stated = makes a defensible choice AND says so or adds the needed caveat.
Flagged analytical error = the chart uses a misleading choice, but the model's text says so or names the better measure (the warning is in the chat, not on the chart).
Silent analytical error = code runs, chart looks fine, but uses a misleading choice (see 'Misleading chart' column) and nothing in the code or text flags it.
Visible error = code crashes, or the chart is empty or unreadable.</t>
  </si>
  <si>
    <t xml:space="preserve">Implausible?</t>
  </si>
  <si>
    <t xml:space="preserve">Yes if a careful reader could tell something is off from the chart alone (e.g. a vaccination rate above 100%). Silent errors that are implausible are still silent errors; the column shows how many were truly invisible.</t>
  </si>
  <si>
    <t xml:space="preserve">Code handling</t>
  </si>
  <si>
    <t xml:space="preserve">Model code was run exactly as returned and never corrected; crashes were recorded as results. Where a question was re-run, the new result replaced the old one, as decided in advance. Installation instructions given separately from the script (e.g. 'pip install') were not run as code.</t>
  </si>
  <si>
    <t xml:space="preserve">Fairness rule</t>
  </si>
  <si>
    <t xml:space="preserve">Labels were assigned against the Valid and Misleading columns of the answer key, which were fixed before any run and not changed afterwards. Where an output did not fit, the closest label was used and the reasoning recorded in Notes; judgement calls are marked as such.</t>
  </si>
  <si>
    <t xml:space="preserve">Sheets</t>
  </si>
  <si>
    <t xml:space="preserve">Summary: all results, calculated by formulas from the logs. Questions: questions, answer key and exact prompts. Run log: one row per run (56; T13 with the state-choices prompt produced no chart). Detection log: check-afterwards verdicts (28). People check: lay-reader answers. Yellow cells were filled in by the researcher.</t>
  </si>
  <si>
    <t xml:space="preserve">Key results</t>
  </si>
  <si>
    <t xml:space="preserve">Baseline: all code ran (100%), but 48% of trap questions produced an analytical error (16% silent, 32% flagged). State choices: silent errors fell to 0% and analytical errors to 16%, with all controls still valid. Check afterwards: the model caught 2 of 4 silent errors with the right problem, but raised false alarms on 13 of 15 valid charts (87%). People check: 5 lay readers judged silent-error charts correct 70% of the time, against 95% for valid charts. Full figures are on the Summary sheet.</t>
  </si>
  <si>
    <t xml:space="preserve">Measure</t>
  </si>
  <si>
    <t xml:space="preserve">Baseline</t>
  </si>
  <si>
    <t xml:space="preserve">State choices</t>
  </si>
  <si>
    <t xml:space="preserve">Charts logged (all questions)</t>
  </si>
  <si>
    <t xml:space="preserve">Ran without error</t>
  </si>
  <si>
    <t xml:space="preserve">Trap questions labelled</t>
  </si>
  <si>
    <t xml:space="preserve">Silent error rate (trap questions)</t>
  </si>
  <si>
    <t xml:space="preserve">Flagged error rate (trap questions)</t>
  </si>
  <si>
    <t xml:space="preserve">Any analytical error, silent or flagged (trap questions)</t>
  </si>
  <si>
    <t xml:space="preserve">Visible error rate (trap questions)</t>
  </si>
  <si>
    <t xml:space="preserve">Valid (incl. choice stated), trap questions</t>
  </si>
  <si>
    <t xml:space="preserve">Silent errors also implausible to a careful reader</t>
  </si>
  <si>
    <t xml:space="preserve">Control questions valid</t>
  </si>
  <si>
    <t xml:space="preserve">Check afterwards (Detection log)</t>
  </si>
  <si>
    <t xml:space="preserve">Silent errors the model flagged with the right problem</t>
  </si>
  <si>
    <t xml:space="preserve">Valid charts wrongly flagged (false alarms)</t>
  </si>
  <si>
    <t xml:space="preserve">People check</t>
  </si>
  <si>
    <t xml:space="preserve">Silent-error charts people judged correct (missed)</t>
  </si>
  <si>
    <t xml:space="preserve">Valid charts people judged correct</t>
  </si>
  <si>
    <t xml:space="preserve">ID</t>
  </si>
  <si>
    <t xml:space="preserve">Type</t>
  </si>
  <si>
    <t xml:space="preserve">Hidden choice</t>
  </si>
  <si>
    <t xml:space="preserve">Question (as a user would ask)</t>
  </si>
  <si>
    <t xml:space="preserve">What the question leaves open</t>
  </si>
  <si>
    <t xml:space="preserve">Valid chart</t>
  </si>
  <si>
    <t xml:space="preserve">Misleading chart</t>
  </si>
  <si>
    <t xml:space="preserve">What the data show</t>
  </si>
  <si>
    <t xml:space="preserve">Baseline prompt</t>
  </si>
  <si>
    <t xml:space="preserve">State-choices prompt</t>
  </si>
  <si>
    <t xml:space="preserve">Check prompt (baseline code inserted at the placeholder)</t>
  </si>
  <si>
    <t xml:space="preserve">T01</t>
  </si>
  <si>
    <t xml:space="preserve">Trap</t>
  </si>
  <si>
    <t xml:space="preserve">Totals vs rates; regional rows</t>
  </si>
  <si>
    <t xml:space="preserve">Which countries were hit hardest by COVID-19 deaths? Show me the top 10.</t>
  </si>
  <si>
    <t xml:space="preserve">Total deaths or deaths per person; whether rows such as 'World' and income groups count as countries.</t>
  </si>
  <si>
    <t xml:space="preserve">Deaths per million, countries only.</t>
  </si>
  <si>
    <t xml:space="preserve">Total deaths (big countries dominate), or a top 10 that includes 'World', 'Europe' or income groups.</t>
  </si>
  <si>
    <t xml:space="preserve">Per million: Peru 6,601; Bulgaria 5,670; North Macedonia 5,422. Totals: United States 1.19m; Brazil 702k; India 534k.</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</si>
  <si>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Which countries were hit hardest by COVID-19 deaths? Show me the top 10.</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</si>
  <si>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Which countries were hit hardest by COVID-19 deaths? Show me the top 10.
Before you write any code, list the analytical choices this question leaves open (for example: which measure to use, totals or rates, which time period, and which rows to include). Say which option you will choose for each and why, and point out anything in the dataset that could make the chart misleading. Then write the code.</t>
  </si>
  <si>
    <t xml:space="preserve">A user asked this question about the Our World in Data COVID-19 dataset:
Which countries were hit hardest by COVID-19 deaths? Show me the top 10.
Another assistant wrote the code below to answer it. Without running it, does the chart it produces answer the question correctly? If there is a problem with how the data are measured, filtered, combined or compared, name it. Start your answer with either 'Correct' or 'Problem:'.
[PASTE THE BASELINE CODE HERE]</t>
  </si>
  <si>
    <t xml:space="preserve">T02</t>
  </si>
  <si>
    <t xml:space="preserve">Totals vs rates</t>
  </si>
  <si>
    <t xml:space="preserve">Make a chart comparing how badly COVID affected the countries of South America.</t>
  </si>
  <si>
    <t xml:space="preserve">Total deaths or deaths per person.</t>
  </si>
  <si>
    <t xml:space="preserve">Deaths (or cases) per million.</t>
  </si>
  <si>
    <t xml:space="preserve">Total deaths, which mostly reflects population size.</t>
  </si>
  <si>
    <t xml:space="preserve">Per million: Peru 6,601; Brazil 3,339; Chile 3,208. Totals make Brazil (702k) look three times worse than Peru (221k).</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</si>
  <si>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Make a chart comparing how badly COVID affected the countries of South America.</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</si>
  <si>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Make a chart comparing how badly COVID affected the countries of South America.
Before you write any code, list the analytical choices this question leaves open (for example: which measure to use, totals or rates, which time period, and which rows to include). Say which option you will choose for each and why, and point out anything in the dataset that could make the chart misleading. Then write the code.</t>
  </si>
  <si>
    <t xml:space="preserve">A user asked this question about the Our World in Data COVID-19 dataset:
Make a chart comparing how badly COVID affected the countries of South America.
Another assistant wrote the code below to answer it. Without running it, does the chart it produces answer the question correctly? If there is a problem with how the data are measured, filtered, combined or compared, name it. Start your answer with either 'Correct' or 'Problem:'.
[PASTE THE BASELINE CODE HERE]</t>
  </si>
  <si>
    <t xml:space="preserve">T03</t>
  </si>
  <si>
    <t xml:space="preserve">Totals vs rates; tiny populations</t>
  </si>
  <si>
    <t xml:space="preserve">Which African countries were most affected by COVID?</t>
  </si>
  <si>
    <t xml:space="preserve">Totals or rates; cases or deaths; how to treat very small territories.</t>
  </si>
  <si>
    <t xml:space="preserve">A per-person measure. Best answers note that tiny territories (Reunion, Seychelles, Saint Helena) top the per-million list and that testing varied.</t>
  </si>
  <si>
    <t xml:space="preserve">Total cases (South Africa first simply because it tested and has a large population).</t>
  </si>
  <si>
    <t xml:space="preserve">Totals: South Africa 4.07m; Morocco 1.28m; Tunisia 1.15m. Per million (population over 1m): Mauritius, Botswana, Tunisia.</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</si>
  <si>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Which African countries were most affected by COVID?</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</si>
  <si>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Which African countries were most affected by COVID?
Before you write any code, list the analytical choices this question leaves open (for example: which measure to use, totals or rates, which time period, and which rows to include). Say which option you will choose for each and why, and point out anything in the dataset that could make the chart misleading. Then write the code.</t>
  </si>
  <si>
    <t xml:space="preserve">A user asked this question about the Our World in Data COVID-19 dataset:
Which African countries were most affected by COVID?
Another assistant wrote the code below to answer it. Without running it, does the chart it produces answer the question correctly? If there is a problem with how the data are measured, filtered, combined or compared, name it. Start your answer with either 'Correct' or 'Problem:'.
[PASTE THE BASELINE CODE HERE]</t>
  </si>
  <si>
    <t xml:space="preserve">T04</t>
  </si>
  <si>
    <t xml:space="preserve">Regional rows counted as countries</t>
  </si>
  <si>
    <t xml:space="preserve">Show the 10 countries with the most COVID cases.</t>
  </si>
  <si>
    <t xml:space="preserve">Whether 'World', continents and income groups count as countries.</t>
  </si>
  <si>
    <t xml:space="preserve">Countries only (totals are fine here: the question asks for 'most cases').</t>
  </si>
  <si>
    <t xml:space="preserve">A top 10 filled with 'World', 'High-income countries', 'Asia', 'Europe' and similar rows.</t>
  </si>
  <si>
    <t xml:space="preserve">Countries only: United States 103.4m; China 99.4m; India 45.0m; France 39.0m; Germany 38.4m. With aggregate rows included, only the US and China make the top 10.</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</si>
  <si>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Show the 10 countries with the most COVID cases.</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</si>
  <si>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Show the 10 countries with the most COVID cases.
Before you write any code, list the analytical choices this question leaves open (for example: which measure to use, totals or rates, which time period, and which rows to include). Say which option you will choose for each and why, and point out anything in the dataset that could make the chart misleading. Then write the code.</t>
  </si>
  <si>
    <t xml:space="preserve">A user asked this question about the Our World in Data COVID-19 dataset:
Show the 10 countries with the most COVID cases.
Another assistant wrote the code below to answer it. Without running it, does the chart it produces answer the question correctly? If there is a problem with how the data are measured, filtered, combined or compared, name it. Start your answer with either 'Correct' or 'Problem:'.
[PASTE THE BASELINE CODE HERE]</t>
  </si>
  <si>
    <t xml:space="preserve">T05</t>
  </si>
  <si>
    <t xml:space="preserve">Summing a running total; double counting</t>
  </si>
  <si>
    <t xml:space="preserve">How many people died of COVID in each continent? Show it as a bar chart.</t>
  </si>
  <si>
    <t xml:space="preserve">How to total a cumulative column; whether to add countries or use the continent rows.</t>
  </si>
  <si>
    <t xml:space="preserve">Latest cumulative deaths per country summed by continent (or the continent rows themselves).</t>
  </si>
  <si>
    <t xml:space="preserve">Summing the cumulative column across all dates (gives billions of deaths), or adding aggregate rows on top of countries.</t>
  </si>
  <si>
    <t xml:space="preserve">Europe 2.10m; North America 1.67m; Asia 1.64m; South America 1.35m; Africa 259k; Oceania 33k (world 7.06m). Summing every date gives about 8 billion.</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</si>
  <si>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How many people died of COVID in each continent? Show it as a bar chart.</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</si>
  <si>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How many people died of COVID in each continent? Show it as a bar chart.
Before you write any code, list the analytical choices this question leaves open (for example: which measure to use, totals or rates, which time period, and which rows to include). Say which option you will choose for each and why, and point out anything in the dataset that could make the chart misleading. Then write the code.</t>
  </si>
  <si>
    <t xml:space="preserve">A user asked this question about the Our World in Data COVID-19 dataset:
How many people died of COVID in each continent? Show it as a bar chart.
Another assistant wrote the code below to answer it. Without running it, does the chart it produces answer the question correctly? If there is a problem with how the data are measured, filtered, combined or compared, name it. Start your answer with either 'Correct' or 'Problem:'.
[PASTE THE BASELINE CODE HERE]</t>
  </si>
  <si>
    <t xml:space="preserve">T06</t>
  </si>
  <si>
    <t xml:space="preserve">Unweighted average of countries</t>
  </si>
  <si>
    <t xml:space="preserve">What share of people in Africa were fully vaccinated against COVID?</t>
  </si>
  <si>
    <t xml:space="preserve">Share of all people (population-weighted) or the average of country percentages.</t>
  </si>
  <si>
    <t xml:space="preserve">Population-weighted share, i.e. the 'Africa' row: 32.4%.</t>
  </si>
  <si>
    <t xml:space="preserve">Simple average of country percentages: 35.4%, presented as the share of people.</t>
  </si>
  <si>
    <t xml:space="preserve">Weighted 32.4% vs unweighted 35.4%.</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</si>
  <si>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What share of people in Africa were fully vaccinated against COVID?</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</si>
  <si>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What share of people in Africa were fully vaccinated against COVID?
Before you write any code, list the analytical choices this question leaves open (for example: which measure to use, totals or rates, which time period, and which rows to include). Say which option you will choose for each and why, and point out anything in the dataset that could make the chart misleading. Then write the code.</t>
  </si>
  <si>
    <t xml:space="preserve">A user asked this question about the Our World in Data COVID-19 dataset:
What share of people in Africa were fully vaccinated against COVID?
Another assistant wrote the code below to answer it. Without running it, does the chart it produces answer the question correctly? If there is a problem with how the data are measured, filtered, combined or compared, name it. Start your answer with either 'Correct' or 'Problem:'.
[PASTE THE BASELINE CODE HERE]</t>
  </si>
  <si>
    <t xml:space="preserve">T07</t>
  </si>
  <si>
    <t xml:space="preserve">Running total vs yearly count</t>
  </si>
  <si>
    <t xml:space="preserve">Were there more COVID deaths in the United States in 2021 or in 2022? Make a chart.</t>
  </si>
  <si>
    <t xml:space="preserve">Deaths during each year, or the running total at the end of each year.</t>
  </si>
  <si>
    <t xml:space="preserve">Sum new deaths within each year: 2021 = 469,667; 2022 = 267,389, so 2021.</t>
  </si>
  <si>
    <t xml:space="preserve">Year-end running totals (812,587 vs 1,079,976), which wrongly suggest 2022.</t>
  </si>
  <si>
    <t xml:space="preserve">The trap reverses the answer.</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</si>
  <si>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Were there more COVID deaths in the United States in 2021 or in 2022? Make a chart.</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</si>
  <si>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Were there more COVID deaths in the United States in 2021 or in 2022? Make a chart.
Before you write any code, list the analytical choices this question leaves open (for example: which measure to use, totals or rates, which time period, and which rows to include). Say which option you will choose for each and why, and point out anything in the dataset that could make the chart misleading. Then write the code.</t>
  </si>
  <si>
    <t xml:space="preserve">A user asked this question about the Our World in Data COVID-19 dataset:
Were there more COVID deaths in the United States in 2021 or in 2022? Make a chart.
Another assistant wrote the code below to answer it. Without running it, does the chart it produces answer the question correctly? If there is a problem with how the data are measured, filtered, combined or compared, name it. Start your answer with either 'Correct' or 'Problem:'.
[PASTE THE BASELINE CODE HERE]</t>
  </si>
  <si>
    <t xml:space="preserve">T08</t>
  </si>
  <si>
    <t xml:space="preserve">Running total hides waves; weekly reporting</t>
  </si>
  <si>
    <t xml:space="preserve">Plot how COVID deaths changed over time in Italy.</t>
  </si>
  <si>
    <t xml:space="preserve">Running total or deaths per period; how to handle weekly reporting.</t>
  </si>
  <si>
    <t xml:space="preserve">Weekly deaths or the 7-day smoothed column, showing the waves.</t>
  </si>
  <si>
    <t xml:space="preserve">Silent: the running total (one rising line, no waves). Visible: raw daily values, which are weekly totals on Sundays and zero on every other day, giving a spiky comb.</t>
  </si>
  <si>
    <t xml:space="preserve">All non-zero daily deaths in this file fall on Sundays: the data are weekly.</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</si>
  <si>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Plot how COVID deaths changed over time in Italy.</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</si>
  <si>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Plot how COVID deaths changed over time in Italy.
Before you write any code, list the analytical choices this question leaves open (for example: which measure to use, totals or rates, which time period, and which rows to include). Say which option you will choose for each and why, and point out anything in the dataset that could make the chart misleading. Then write the code.</t>
  </si>
  <si>
    <t xml:space="preserve">A user asked this question about the Our World in Data COVID-19 dataset:
Plot how COVID deaths changed over time in Italy.
Another assistant wrote the code below to answer it. Without running it, does the chart it produces answer the question correctly? If there is a problem with how the data are measured, filtered, combined or compared, name it. Start your answer with either 'Correct' or 'Problem:'.
[PASTE THE BASELINE CODE HERE]</t>
  </si>
  <si>
    <t xml:space="preserve">T09</t>
  </si>
  <si>
    <t xml:space="preserve">Running total</t>
  </si>
  <si>
    <t xml:space="preserve">Did COVID deaths in the United Kingdom fall after vaccines were rolled out?</t>
  </si>
  <si>
    <t xml:space="preserve">Running total or deaths per period; when vaccination started.</t>
  </si>
  <si>
    <t xml:space="preserve">Weekly or smoothed new deaths over time, with the vaccine rollout (December 2020) marked or vaccination shown alongside.</t>
  </si>
  <si>
    <t xml:space="preserve">The running total, which can only rise and so seems to say 'no'.</t>
  </si>
  <si>
    <t xml:space="preserve">Deaths per week fell sharply in early 2021.</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</si>
  <si>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Did COVID deaths in the United Kingdom fall after vaccines were rolled out?</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</si>
  <si>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Did COVID deaths in the United Kingdom fall after vaccines were rolled out?
Before you write any code, list the analytical choices this question leaves open (for example: which measure to use, totals or rates, which time period, and which rows to include). Say which option you will choose for each and why, and point out anything in the dataset that could make the chart misleading. Then write the code.</t>
  </si>
  <si>
    <t xml:space="preserve">A user asked this question about the Our World in Data COVID-19 dataset:
Did COVID deaths in the United Kingdom fall after vaccines were rolled out?
Another assistant wrote the code below to answer it. Without running it, does the chart it produces answer the question correctly? If there is a problem with how the data are measured, filtered, combined or compared, name it. Start your answer with either 'Correct' or 'Problem:'.
[PASTE THE BASELINE CODE HERE]</t>
  </si>
  <si>
    <t xml:space="preserve">T10</t>
  </si>
  <si>
    <t xml:space="preserve">Weekly data read as daily</t>
  </si>
  <si>
    <t xml:space="preserve">On which single day did the most people die of COVID in the United States?</t>
  </si>
  <si>
    <t xml:space="preserve">Whether the data really are daily.</t>
  </si>
  <si>
    <t xml:space="preserve">Says the data are weekly totals recorded on Sundays, so a single day cannot be identified; reports the peak week instead.</t>
  </si>
  <si>
    <t xml:space="preserve">Names Sunday 17 January 2021 with 23,312 deaths as a single day.</t>
  </si>
  <si>
    <t xml:space="preserve">23,312 is the total for the week ending 17 January 2021.</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</si>
  <si>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On which single day did the most people die of COVID in the United States?</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</si>
  <si>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On which single day did the most people die of COVID in the United States?
Before you write any code, list the analytical choices this question leaves open (for example: which measure to use, totals or rates, which time period, and which rows to include). Say which option you will choose for each and why, and point out anything in the dataset that could make the chart misleading. Then write the code.</t>
  </si>
  <si>
    <t xml:space="preserve">A user asked this question about the Our World in Data COVID-19 dataset:
On which single day did the most people die of COVID in the United States?
Another assistant wrote the code below to answer it. Without running it, does the chart it produces answer the question correctly? If there is a problem with how the data are measured, filtered, combined or compared, name it. Start your answer with either 'Correct' or 'Problem:'.
[PASTE THE BASELINE CODE HERE]</t>
  </si>
  <si>
    <t xml:space="preserve">T11</t>
  </si>
  <si>
    <t xml:space="preserve">Doses vs people</t>
  </si>
  <si>
    <t xml:space="preserve">What percentage of the population is vaccinated in each G7 country?</t>
  </si>
  <si>
    <t xml:space="preserve">Doses per hundred people, or people with at least one dose / fully vaccinated.</t>
  </si>
  <si>
    <t xml:space="preserve">people_vaccinated_per_hundred (Canada 90.4%, Italy 86.3%, Japan 84.5%) or the fully vaccinated column.</t>
  </si>
  <si>
    <t xml:space="preserve">total_vaccinations_per_hundred (doses): values of 200-310, shown as 'percent vaccinated'.</t>
  </si>
  <si>
    <t xml:space="preserve">Japan 309.6 doses per hundred, but 84.5% of people.</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</si>
  <si>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What percentage of the population is vaccinated in each G7 country?</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</si>
  <si>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What percentage of the population is vaccinated in each G7 country?
Before you write any code, list the analytical choices this question leaves open (for example: which measure to use, totals or rates, which time period, and which rows to include). Say which option you will choose for each and why, and point out anything in the dataset that could make the chart misleading. Then write the code.</t>
  </si>
  <si>
    <t xml:space="preserve">A user asked this question about the Our World in Data COVID-19 dataset:
What percentage of the population is vaccinated in each G7 country?
Another assistant wrote the code below to answer it. Without running it, does the chart it produces answer the question correctly? If there is a problem with how the data are measured, filtered, combined or compared, name it. Start your answer with either 'Correct' or 'Problem:'.
[PASTE THE BASELINE CODE HERE]</t>
  </si>
  <si>
    <t xml:space="preserve">T12</t>
  </si>
  <si>
    <t xml:space="preserve">Doses vs people; regional rows</t>
  </si>
  <si>
    <t xml:space="preserve">Which countries vaccinated the most people against COVID?</t>
  </si>
  <si>
    <t xml:space="preserve">People or doses; countries or aggregate rows.</t>
  </si>
  <si>
    <t xml:space="preserve">people_vaccinated, countries only: China 1.31bn; India 1.03bn; US 270m.</t>
  </si>
  <si>
    <t xml:space="preserve">total_vaccinations (doses: China 3.49bn, more than its population), or 'World' and 'Asia' at the top.</t>
  </si>
  <si>
    <t xml:space="preserve">Doses exceed people about 2.7-fold in China.</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</si>
  <si>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Which countries vaccinated the most people against COVID?</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</si>
  <si>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Which countries vaccinated the most people against COVID?
Before you write any code, list the analytical choices this question leaves open (for example: which measure to use, totals or rates, which time period, and which rows to include). Say which option you will choose for each and why, and point out anything in the dataset that could make the chart misleading. Then write the code.</t>
  </si>
  <si>
    <t xml:space="preserve">A user asked this question about the Our World in Data COVID-19 dataset:
Which countries vaccinated the most people against COVID?
Another assistant wrote the code below to answer it. Without running it, does the chart it produces answer the question correctly? If there is a problem with how the data are measured, filtered, combined or compared, name it. Start your answer with either 'Correct' or 'Problem:'.
[PASTE THE BASELINE CODE HERE]</t>
  </si>
  <si>
    <t xml:space="preserve">T13</t>
  </si>
  <si>
    <t xml:space="preserve">Parts of a country listed as countries</t>
  </si>
  <si>
    <t xml:space="preserve">Compare COVID vaccination rates across European countries.</t>
  </si>
  <si>
    <t xml:space="preserve">Which rows count as countries; doses or people.</t>
  </si>
  <si>
    <t xml:space="preserve">Per-hundred people vaccinated, countries only (the UK once).</t>
  </si>
  <si>
    <t xml:space="preserve">England, Scotland, Wales and Northern Ireland plotted next to the United Kingdom, or doses per hundred.</t>
  </si>
  <si>
    <t xml:space="preserve">The file labels England, Scotland, Wales and Northern Ireland as being in Europe.</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</si>
  <si>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Compare COVID vaccination rates across European countries.</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</si>
  <si>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Compare COVID vaccination rates across European countries.
Before you write any code, list the analytical choices this question leaves open (for example: which measure to use, totals or rates, which time period, and which rows to include). Say which option you will choose for each and why, and point out anything in the dataset that could make the chart misleading. Then write the code.</t>
  </si>
  <si>
    <t xml:space="preserve">A user asked this question about the Our World in Data COVID-19 dataset:
Compare COVID vaccination rates across European countries.
Another assistant wrote the code below to answer it. Without running it, does the chart it produces answer the question correctly? If there is a problem with how the data are measured, filtered, combined or compared, name it. Start your answer with either 'Correct' or 'Problem:'.
[PASTE THE BASELINE CODE HERE]</t>
  </si>
  <si>
    <t xml:space="preserve">T14</t>
  </si>
  <si>
    <t xml:space="preserve">Newest date has no data</t>
  </si>
  <si>
    <t xml:space="preserve">Show each country's latest COVID death rate per million.</t>
  </si>
  <si>
    <t xml:space="preserve">What 'latest' means when countries stop reporting at different times.</t>
  </si>
  <si>
    <t xml:space="preserve">Each country's last available value (deaths end on 4 August 2024).</t>
  </si>
  <si>
    <t xml:space="preserve">Filtering on the newest date in the file (14 August 2024): only 8 rows and no death data, so the chart is empty.</t>
  </si>
  <si>
    <t xml:space="preserve">Usually a visible error.</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</si>
  <si>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Show each country's latest COVID death rate per million.</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</si>
  <si>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Show each country's latest COVID death rate per million.
Before you write any code, list the analytical choices this question leaves open (for example: which measure to use, totals or rates, which time period, and which rows to include). Say which option you will choose for each and why, and point out anything in the dataset that could make the chart misleading. Then write the code.</t>
  </si>
  <si>
    <t xml:space="preserve">A user asked this question about the Our World in Data COVID-19 dataset:
Show each country's latest COVID death rate per million.
Another assistant wrote the code below to answer it. Without running it, does the chart it produces answer the question correctly? If there is a problem with how the data are measured, filtered, combined or compared, name it. Start your answer with either 'Correct' or 'Problem:'.
[PASTE THE BASELINE CODE HERE]</t>
  </si>
  <si>
    <t xml:space="preserve">T15</t>
  </si>
  <si>
    <t xml:space="preserve">Asking for a period with no data</t>
  </si>
  <si>
    <t xml:space="preserve">Compare how strict COVID restrictions were across countries in 2023.</t>
  </si>
  <si>
    <t xml:space="preserve">Whether the Stringency Index covers 2023.</t>
  </si>
  <si>
    <t xml:space="preserve">Says the Stringency Index ends on 31 December 2022, so 2023 cannot be shown (may offer 2022 instead, clearly labelled).</t>
  </si>
  <si>
    <t xml:space="preserve">2022 values shown as if they were 2023, or an empty chart with no explanation.</t>
  </si>
  <si>
    <t xml:space="preserve">No stringency values exist after 2022.</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</si>
  <si>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Compare how strict COVID restrictions were across countries in 2023.</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</si>
  <si>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Compare how strict COVID restrictions were across countries in 2023.
Before you write any code, list the analytical choices this question leaves open (for example: which measure to use, totals or rates, which time period, and which rows to include). Say which option you will choose for each and why, and point out anything in the dataset that could make the chart misleading. Then write the code.</t>
  </si>
  <si>
    <t xml:space="preserve">A user asked this question about the Our World in Data COVID-19 dataset:
Compare how strict COVID restrictions were across countries in 2023.
Another assistant wrote the code below to answer it. Without running it, does the chart it produces answer the question correctly? If there is a problem with how the data are measured, filtered, combined or compared, name it. Start your answer with either 'Correct' or 'Problem:'.
[PASTE THE BASELINE CODE HERE]</t>
  </si>
  <si>
    <t xml:space="preserve">T16</t>
  </si>
  <si>
    <t xml:space="preserve">Different time windows; totals</t>
  </si>
  <si>
    <t xml:space="preserve">Which countries had the highest excess mortality during the pandemic?</t>
  </si>
  <si>
    <t xml:space="preserve">Absolute or per person; the period covered, which differs by country.</t>
  </si>
  <si>
    <t xml:space="preserve">Cumulative excess deaths per million (or P-scores), compared over a common end date, or with the different end dates stated.</t>
  </si>
  <si>
    <t xml:space="preserve">Absolute excess deaths (Russia 1.35m, US 1.35m, Brazil 879k), or cumulative values ending in 2021 for some countries and 2023 for others.</t>
  </si>
  <si>
    <t xml:space="preserve">End dates: 74 countries to Dec 2023, 15 to Dec 2021, 12 to Dec 2022. Per million (latest): Lithuania 9,581; Bulgaria 9,407; Russia 9,345.</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</si>
  <si>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Which countries had the highest excess mortality during the pandemic?</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</si>
  <si>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Which countries had the highest excess mortality during the pandemic?
Before you write any code, list the analytical choices this question leaves open (for example: which measure to use, totals or rates, which time period, and which rows to include). Say which option you will choose for each and why, and point out anything in the dataset that could make the chart misleading. Then write the code.</t>
  </si>
  <si>
    <t xml:space="preserve">A user asked this question about the Our World in Data COVID-19 dataset:
Which countries had the highest excess mortality during the pandemic?
Another assistant wrote the code below to answer it. Without running it, does the chart it produces answer the question correctly? If there is a problem with how the data are measured, filtered, combined or compared, name it. Start your answer with either 'Correct' or 'Problem:'.
[PASTE THE BASELINE CODE HERE]</t>
  </si>
  <si>
    <t xml:space="preserve">T17</t>
  </si>
  <si>
    <t xml:space="preserve">Totals; units that differ</t>
  </si>
  <si>
    <t xml:space="preserve">Which countries were best at testing for COVID?</t>
  </si>
  <si>
    <t xml:space="preserve">Total tests or tests per person; units differ by country.</t>
  </si>
  <si>
    <t xml:space="preserve">Tests per thousand people; best answers note that countries count different things (151 count tests performed, 26 people tested, 15 samples).</t>
  </si>
  <si>
    <t xml:space="preserve">Total tests, which mostly reflects population.</t>
  </si>
  <si>
    <t xml:space="preserve">Testing data stop in June 2022.</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</si>
  <si>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Which countries were best at testing for COVID?</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</si>
  <si>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Which countries were best at testing for COVID?
Before you write any code, list the analytical choices this question leaves open (for example: which measure to use, totals or rates, which time period, and which rows to include). Say which option you will choose for each and why, and point out anything in the dataset that could make the chart misleading. Then write the code.</t>
  </si>
  <si>
    <t xml:space="preserve">A user asked this question about the Our World in Data COVID-19 dataset:
Which countries were best at testing for COVID?
Another assistant wrote the code below to answer it. Without running it, does the chart it produces answer the question correctly? If there is a problem with how the data are measured, filtered, combined or compared, name it. Start your answer with either 'Correct' or 'Problem:'.
[PASTE THE BASELINE CODE HERE]</t>
  </si>
  <si>
    <t xml:space="preserve">T18</t>
  </si>
  <si>
    <t xml:space="preserve">Totals vs rates; age</t>
  </si>
  <si>
    <t xml:space="preserve">Do countries with higher diabetes rates have more COVID deaths?</t>
  </si>
  <si>
    <t xml:space="preserve">Total deaths or deaths per person; whether age should be considered.</t>
  </si>
  <si>
    <t xml:space="preserve">Deaths per million against diabetes prevalence (no clear relationship, r about 0.02); ideally notes age differences.</t>
  </si>
  <si>
    <t xml:space="preserve">Total deaths against diabetes prevalence.</t>
  </si>
  <si>
    <t xml:space="preserve">No meaningful correlation either way.</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</si>
  <si>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Do countries with higher diabetes rates have more COVID deaths?</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</si>
  <si>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Do countries with higher diabetes rates have more COVID deaths?
Before you write any code, list the analytical choices this question leaves open (for example: which measure to use, totals or rates, which time period, and which rows to include). Say which option you will choose for each and why, and point out anything in the dataset that could make the chart misleading. Then write the code.</t>
  </si>
  <si>
    <t xml:space="preserve">A user asked this question about the Our World in Data COVID-19 dataset:
Do countries with higher diabetes rates have more COVID deaths?
Another assistant wrote the code below to answer it. Without running it, does the chart it produces answer the question correctly? If there is a problem with how the data are measured, filtered, combined or compared, name it. Start your answer with either 'Correct' or 'Problem:'.
[PASTE THE BASELINE CODE HERE]</t>
  </si>
  <si>
    <t xml:space="preserve">T19</t>
  </si>
  <si>
    <t xml:space="preserve">Totals vs rates; age and recording</t>
  </si>
  <si>
    <t xml:space="preserve">Did richer countries handle COVID better? Plot GDP per capita against COVID deaths.</t>
  </si>
  <si>
    <t xml:space="preserve">Totals or rates; whether richer countries are older and record deaths more completely.</t>
  </si>
  <si>
    <t xml:space="preserve">Deaths per million (or excess deaths per million); best answers note that richer countries are older (r = 0.51 with share over 65) and count deaths more completely.</t>
  </si>
  <si>
    <t xml:space="preserve">Total deaths against GDP, or a per-million chart read as proof that richer countries handled COVID worse, with no caveat.</t>
  </si>
  <si>
    <t xml:space="preserve">r(GDP, deaths per million) = 0.26; r(share over 65, deaths per million) = 0.69.</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</si>
  <si>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Did richer countries handle COVID better? Plot GDP per capita against COVID deaths.</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</si>
  <si>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Did richer countries handle COVID better? Plot GDP per capita against COVID deaths.
Before you write any code, list the analytical choices this question leaves open (for example: which measure to use, totals or rates, which time period, and which rows to include). Say which option you will choose for each and why, and point out anything in the dataset that could make the chart misleading. Then write the code.</t>
  </si>
  <si>
    <t xml:space="preserve">A user asked this question about the Our World in Data COVID-19 dataset:
Did richer countries handle COVID better? Plot GDP per capita against COVID deaths.
Another assistant wrote the code below to answer it. Without running it, does the chart it produces answer the question correctly? If there is a problem with how the data are measured, filtered, combined or compared, name it. Start your answer with either 'Correct' or 'Problem:'.
[PASTE THE BASELINE CODE HERE]</t>
  </si>
  <si>
    <t xml:space="preserve">T20</t>
  </si>
  <si>
    <t xml:space="preserve">Under-counting in recorded data</t>
  </si>
  <si>
    <t xml:space="preserve">Did low-income countries have a lower COVID death rate than high-income countries?</t>
  </si>
  <si>
    <t xml:space="preserve">Whether recorded deaths are equally complete across income groups.</t>
  </si>
  <si>
    <t xml:space="preserve">Shows recorded rates AND says that deaths in low-income countries were heavily under-recorded, so the gap cannot be taken at face value (WHO estimates far more excess deaths than were reported).</t>
  </si>
  <si>
    <t xml:space="preserve">A chart presented as showing that low-income countries fared about 40 times better.</t>
  </si>
  <si>
    <t xml:space="preserve">Recorded deaths per million: high income 2,455; upper-middle 997; lower-middle 369; low income 61.</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</si>
  <si>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Did low-income countries have a lower COVID death rate than high-income countries?</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</si>
  <si>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Did low-income countries have a lower COVID death rate than high-income countries?
Before you write any code, list the analytical choices this question leaves open (for example: which measure to use, totals or rates, which time period, and which rows to include). Say which option you will choose for each and why, and point out anything in the dataset that could make the chart misleading. Then write the code.</t>
  </si>
  <si>
    <t xml:space="preserve">A user asked this question about the Our World in Data COVID-19 dataset:
Did low-income countries have a lower COVID death rate than high-income countries?
Another assistant wrote the code below to answer it. Without running it, does the chart it produces answer the question correctly? If there is a problem with how the data are measured, filtered, combined or compared, name it. Start your answer with either 'Correct' or 'Problem:'.
[PASTE THE BASELINE CODE HERE]</t>
  </si>
  <si>
    <t xml:space="preserve">T21</t>
  </si>
  <si>
    <t xml:space="preserve">Case fatality vs death rate</t>
  </si>
  <si>
    <t xml:space="preserve">Which country had the deadliest COVID outbreak?</t>
  </si>
  <si>
    <t xml:space="preserve">Deaths per person or deaths per recorded case.</t>
  </si>
  <si>
    <t xml:space="preserve">Deaths per million; or deaths per case with a note that it depends on how much a country tested.</t>
  </si>
  <si>
    <t xml:space="preserve">Deaths per case presented without that caveat.</t>
  </si>
  <si>
    <t xml:space="preserve">Per million: Peru first.</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</si>
  <si>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Which country had the deadliest COVID outbreak?</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</si>
  <si>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Which country had the deadliest COVID outbreak?
Before you write any code, list the analytical choices this question leaves open (for example: which measure to use, totals or rates, which time period, and which rows to include). Say which option you will choose for each and why, and point out anything in the dataset that could make the chart misleading. Then write the code.</t>
  </si>
  <si>
    <t xml:space="preserve">A user asked this question about the Our World in Data COVID-19 dataset:
Which country had the deadliest COVID outbreak?
Another assistant wrote the code below to answer it. Without running it, does the chart it produces answer the question correctly? If there is a problem with how the data are measured, filtered, combined or compared, name it. Start your answer with either 'Correct' or 'Problem:'.
[PASTE THE BASELINE CODE HERE]</t>
  </si>
  <si>
    <t xml:space="preserve">T22</t>
  </si>
  <si>
    <t xml:space="preserve">Absolute vs relative growth</t>
  </si>
  <si>
    <t xml:space="preserve">Which countries saw COVID cases rise fastest in March 2020?</t>
  </si>
  <si>
    <t xml:space="preserve">Absolute increase or relative growth / per person.</t>
  </si>
  <si>
    <t xml:space="preserve">Growth rate, cases per million, or a log scale.</t>
  </si>
  <si>
    <t xml:space="preserve">Absolute increase in cases (US 126k, Spain 109k, Italy 91k).</t>
  </si>
  <si>
    <t xml:space="preserve">Big countries dominate the absolute increase.</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</si>
  <si>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Which countries saw COVID cases rise fastest in March 2020?</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</si>
  <si>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Which countries saw COVID cases rise fastest in March 2020?
Before you write any code, list the analytical choices this question leaves open (for example: which measure to use, totals or rates, which time period, and which rows to include). Say which option you will choose for each and why, and point out anything in the dataset that could make the chart misleading. Then write the code.</t>
  </si>
  <si>
    <t xml:space="preserve">A user asked this question about the Our World in Data COVID-19 dataset:
Which countries saw COVID cases rise fastest in March 2020?
Another assistant wrote the code below to answer it. Without running it, does the chart it produces answer the question correctly? If there is a problem with how the data are measured, filtered, combined or compared, name it. Start your answer with either 'Correct' or 'Problem:'.
[PASTE THE BASELINE CODE HERE]</t>
  </si>
  <si>
    <t xml:space="preserve">T23</t>
  </si>
  <si>
    <t xml:space="preserve">Compare hospital bed capacity with COVID deaths across European countries.</t>
  </si>
  <si>
    <t xml:space="preserve">Beds per thousand against deaths per million.</t>
  </si>
  <si>
    <t xml:space="preserve">Beds per thousand against total deaths.</t>
  </si>
  <si>
    <t xml:space="preserve">Totals put Russia, the UK and Italy at the top.</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</si>
  <si>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Compare hospital bed capacity with COVID deaths across European countries.</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</si>
  <si>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Compare hospital bed capacity with COVID deaths across European countries.
Before you write any code, list the analytical choices this question leaves open (for example: which measure to use, totals or rates, which time period, and which rows to include). Say which option you will choose for each and why, and point out anything in the dataset that could make the chart misleading. Then write the code.</t>
  </si>
  <si>
    <t xml:space="preserve">A user asked this question about the Our World in Data COVID-19 dataset:
Compare hospital bed capacity with COVID deaths across European countries.
Another assistant wrote the code below to answer it. Without running it, does the chart it produces answer the question correctly? If there is a problem with how the data are measured, filtered, combined or compared, name it. Start your answer with either 'Correct' or 'Problem:'.
[PASTE THE BASELINE CODE HERE]</t>
  </si>
  <si>
    <t xml:space="preserve">T24</t>
  </si>
  <si>
    <t xml:space="preserve">Missing data shown as zero</t>
  </si>
  <si>
    <t xml:space="preserve">Show how the number of new COVID cases changed in the United States during 2023.</t>
  </si>
  <si>
    <t xml:space="preserve">What to do after reporting stopped.</t>
  </si>
  <si>
    <t xml:space="preserve">Shows (or says) that US case reporting stops after 20 May 2023.</t>
  </si>
  <si>
    <t xml:space="preserve">Missing values filled with zero, so cases appear to fall to nothing.</t>
  </si>
  <si>
    <t xml:space="preserve">No US case data after 20 May 2023.</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</si>
  <si>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Show how the number of new COVID cases changed in the United States during 2023.</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</si>
  <si>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Show how the number of new COVID cases changed in the United States during 2023.
Before you write any code, list the analytical choices this question leaves open (for example: which measure to use, totals or rates, which time period, and which rows to include). Say which option you will choose for each and why, and point out anything in the dataset that could make the chart misleading. Then write the code.</t>
  </si>
  <si>
    <t xml:space="preserve">A user asked this question about the Our World in Data COVID-19 dataset:
Show how the number of new COVID cases changed in the United States during 2023.
Another assistant wrote the code below to answer it. Without running it, does the chart it produces answer the question correctly? If there is a problem with how the data are measured, filtered, combined or compared, name it. Start your answer with either 'Correct' or 'Problem:'.
[PASTE THE BASELINE CODE HERE]</t>
  </si>
  <si>
    <t xml:space="preserve">T25</t>
  </si>
  <si>
    <t xml:space="preserve">Trap (mild)</t>
  </si>
  <si>
    <t xml:space="preserve">Is there a link between the share of older people and COVID death rates?</t>
  </si>
  <si>
    <t xml:space="preserve">Mostly specified: 'death rates' points to a per-person measure.</t>
  </si>
  <si>
    <t xml:space="preserve">Share aged 65+ against deaths per million (r about 0.69).</t>
  </si>
  <si>
    <t xml:space="preserve">Total deaths.</t>
  </si>
  <si>
    <t xml:space="preserve">Strong positive relationship.</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</si>
  <si>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Is there a link between the share of older people and COVID death rates?</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</si>
  <si>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Is there a link between the share of older people and COVID death rates?
Before you write any code, list the analytical choices this question leaves open (for example: which measure to use, totals or rates, which time period, and which rows to include). Say which option you will choose for each and why, and point out anything in the dataset that could make the chart misleading. Then write the code.</t>
  </si>
  <si>
    <t xml:space="preserve">A user asked this question about the Our World in Data COVID-19 dataset:
Is there a link between the share of older people and COVID death rates?
Another assistant wrote the code below to answer it. Without running it, does the chart it produces answer the question correctly? If there is a problem with how the data are measured, filtered, combined or compared, name it. Start your answer with either 'Correct' or 'Problem:'.
[PASTE THE BASELINE CODE HERE]</t>
  </si>
  <si>
    <t xml:space="preserve">C01</t>
  </si>
  <si>
    <t xml:space="preserve">Control</t>
  </si>
  <si>
    <t xml:space="preserve">None (fully specified)</t>
  </si>
  <si>
    <t xml:space="preserve">Plot the 7-day average of new COVID cases in Germany during 2021, using the new_cases_smoothed column.</t>
  </si>
  <si>
    <t xml:space="preserve">Nothing.</t>
  </si>
  <si>
    <t xml:space="preserve">As asked.</t>
  </si>
  <si>
    <t xml:space="preserve">-</t>
  </si>
  <si>
    <t xml:space="preserve">Checks that the model can do the basic task.</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</si>
  <si>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Plot the 7-day average of new COVID cases in Germany during 2021, using the new_cases_smoothed column.</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</si>
  <si>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Plot the 7-day average of new COVID cases in Germany during 2021, using the new_cases_smoothed column.
Before you write any code, list the analytical choices this question leaves open (for example: which measure to use, totals or rates, which time period, and which rows to include). Say which option you will choose for each and why, and point out anything in the dataset that could make the chart misleading. Then write the code.</t>
  </si>
  <si>
    <t xml:space="preserve">A user asked this question about the Our World in Data COVID-19 dataset:
Plot the 7-day average of new COVID cases in Germany during 2021, using the new_cases_smoothed column.
Another assistant wrote the code below to answer it. Without running it, does the chart it produces answer the question correctly? If there is a problem with how the data are measured, filtered, combined or compared, name it. Start your answer with either 'Correct' or 'Problem:'.
[PASTE THE BASELINE CODE HERE]</t>
  </si>
  <si>
    <t xml:space="preserve">C02</t>
  </si>
  <si>
    <t xml:space="preserve">Plot total COVID deaths per million over time for France, Germany, Italy and Spain.</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</si>
  <si>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Plot total COVID deaths per million over time for France, Germany, Italy and Spain.</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</si>
  <si>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Plot total COVID deaths per million over time for France, Germany, Italy and Spain.
Before you write any code, list the analytical choices this question leaves open (for example: which measure to use, totals or rates, which time period, and which rows to include). Say which option you will choose for each and why, and point out anything in the dataset that could make the chart misleading. Then write the code.</t>
  </si>
  <si>
    <t xml:space="preserve">A user asked this question about the Our World in Data COVID-19 dataset:
Plot total COVID deaths per million over time for France, Germany, Italy and Spain.
Another assistant wrote the code below to answer it. Without running it, does the chart it produces answer the question correctly? If there is a problem with how the data are measured, filtered, combined or compared, name it. Start your answer with either 'Correct' or 'Problem:'.
[PASTE THE BASELINE CODE HERE]</t>
  </si>
  <si>
    <t xml:space="preserve">C03</t>
  </si>
  <si>
    <t xml:space="preserve">Make a scatter plot of median age against total COVID deaths per million, one point per country, excluding the regional and income-group rows.</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</si>
  <si>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Make a scatter plot of median age against total COVID deaths per million, one point per country, excluding the regional and income-group rows.</t>
  </si>
  <si>
    <t xml:space="preserve">I have the Our World in Data COVID-19 dataset saved as a CSV file called owid-covid-data.csv. It has one row per location per date, and these columns: iso_code, continent, location, date, total_cases, new_cases, new_cases_smoothed, total_deaths, new_deaths, new_deaths_smoothed, total_cases_per_million, new_cases_per_million, new_cases_smoothed_per_million, total_deaths_per_million, new_deaths_per_million, new_deaths_smoothed_per_million, reproduction_rate, icu_patients, icu_patients_per_million, hosp_patients, hosp_patients_per_million, weekly_icu_admissions, weekly_icu_admissions_per_million, weekly_hosp_admissions, weekly_hosp_admissions_per_million, total_tests, new_tests, total_tests_per_thousand, new_tests_per_thousand, new_tests_smoothed, new_tests_smoothed_per_thousand, positive_rate, tests_per_case, tests_units, total_vaccinations, people_vaccinated, people_fully_vaccinated, total_boosters, new_vaccinations, new_vaccinations_smoothed, total_vaccinations_per_hundred, people_vaccinated_per_hundred, people_fully_vaccinated_per_hundred, total_boosters_per_hundred, new_vaccinations_smoothed_per_million, new_people_vaccinated_smoothed, new_people_vaccinated_smoothed_per_hundred, stringency_index, population_density, median_age, aged_65_older, aged_70_older, gdp_per_capita, extreme_poverty, cardiovasc_death_rate, diabetes_prevalence, female_smokers, male_smokers, handwashing_facilities, hospital_beds_per_thousand, life_expectancy, human_development_index, population, excess_mortality_cumulative_absolute, excess_mortality_cumulative, excess_mortality, excess_mortality_cumulative_per_million.
Write Python code using pandas and matplotlib that loads the file and makes a chart answering this question:
Make a scatter plot of median age against total COVID deaths per million, one point per country, excluding the regional and income-group rows.
Before you write any code, list the analytical choices this question leaves open (for example: which measure to use, totals or rates, which time period, and which rows to include). Say which option you will choose for each and why, and point out anything in the dataset that could make the chart misleading. Then write the code.</t>
  </si>
  <si>
    <t xml:space="preserve">A user asked this question about the Our World in Data COVID-19 dataset:
Make a scatter plot of median age against total COVID deaths per million, one point per country, excluding the regional and income-group rows.
Another assistant wrote the code below to answer it. Without running it, does the chart it produces answer the question correctly? If there is a problem with how the data are measured, filtered, combined or compared, name it. Start your answer with either 'Correct' or 'Problem:'.
[PASTE THE BASELINE CODE HERE]</t>
  </si>
  <si>
    <t xml:space="preserve">Question</t>
  </si>
  <si>
    <t xml:space="preserve">Condition</t>
  </si>
  <si>
    <t xml:space="preserve">Model (name shown)</t>
  </si>
  <si>
    <t xml:space="preserve">Date</t>
  </si>
  <si>
    <t xml:space="preserve">Code ran without error?</t>
  </si>
  <si>
    <t xml:space="preserve">Label</t>
  </si>
  <si>
    <t xml:space="preserve">Measure / rows the model used</t>
  </si>
  <si>
    <t xml:space="preserve">Implausible to a careful reader?</t>
  </si>
  <si>
    <t xml:space="preserve">Chart file</t>
  </si>
  <si>
    <t xml:space="preserve">Notes</t>
  </si>
  <si>
    <t xml:space="preserve">ChatGPT (free plan, default model, Think off, Memory off)</t>
  </si>
  <si>
    <t xml:space="preserve">Yes</t>
  </si>
  <si>
    <t xml:space="preserve">Flagged analytical error</t>
  </si>
  <si>
    <t xml:space="preserve">total_deaths; OWID_ group rows excluded</t>
  </si>
  <si>
    <t xml:space="preserve">No</t>
  </si>
  <si>
    <t xml:space="preserve">T01_base.png</t>
  </si>
  <si>
    <t xml:space="preserve">Presented total deaths as identifying the hardest-hit countries; warning about population size only at the end. India 3rd despite the lowest death rate of the ten; Peru, hardest hit per person, 7th.</t>
  </si>
  <si>
    <t xml:space="preserve">Valid - choice stated</t>
  </si>
  <si>
    <t xml:space="preserve">total_deaths_per_million; selected rows with continent = South America (group rows excluded automatically; territories included)</t>
  </si>
  <si>
    <t xml:space="preserve">T02_base.png</t>
  </si>
  <si>
    <t xml:space="preserve">Used deaths per million and explained it adjusts for population size; also warned that testing and reporting differ. Included two territories (French Guiana, Falkland Islands) although the question said "countries"; minor.</t>
  </si>
  <si>
    <t xml:space="preserve">total_deaths_per_million; continent = Africa, OWID_ group rows excluded</t>
  </si>
  <si>
    <t xml:space="preserve">T03_base.png</t>
  </si>
  <si>
    <t xml:space="preserve">Used deaths per million and explained it adjusts for population; warned reported deaths may undercount. Did not note that Seychelles (172 deaths, ~107k people) ranks high only because its population is tiny; Réunion is a French territory.</t>
  </si>
  <si>
    <t xml:space="preserve">total_cases (totals appropriate here); OWID_ group rows excluded</t>
  </si>
  <si>
    <t xml:space="preserve">T04_base.png</t>
  </si>
  <si>
    <t xml:space="preserve">Correctly removed World, continents and income groups with the OWID_ filter and said so; also warned against summing cumulative values.</t>
  </si>
  <si>
    <t xml:space="preserve">Silent analytical error</t>
  </si>
  <si>
    <t xml:space="preserve">total_deaths; last single row per continent (no summing)</t>
  </si>
  <si>
    <t xml:space="preserve">T05_base.png</t>
  </si>
  <si>
    <t xml:space="preserve">Each bar is one country, not the continent total (South America = Paraguay 19,880; Asia = North Korea 0). Avoided the expected trap of summing the running total, but made a different error not listed in the answer key. Text claimed the method was correct; no warning.</t>
  </si>
  <si>
    <t xml:space="preserve">people_fully_vaccinated / population, summed by date over countries reporting that date</t>
  </si>
  <si>
    <t xml:space="preserve">T06_base.png</t>
  </si>
  <si>
    <t xml:space="preserve">Weighted correctly but over a different handful of reporting countries each date (median 5 of 54), so the line swings between almost 0% and 62.8%; reported 23.7% (4 countries) vs. Africa’s actual 32.4%. Warned that the set of countries varies, but understated it. Different error from the one in the answer key.</t>
  </si>
  <si>
    <t xml:space="preserve">new_deaths summed by calendar year</t>
  </si>
  <si>
    <t xml:space="preserve">T07_base.png</t>
  </si>
  <si>
    <t xml:space="preserve">Correct answer (2021). Explicitly avoided comparing year-end cumulative totals, which would have reversed the conclusion.</t>
  </si>
  <si>
    <t xml:space="preserve">total_deaths (cumulative)</t>
  </si>
  <si>
    <t xml:space="preserve">T08_base.png</t>
  </si>
  <si>
    <t xml:space="preserve">Running total hides the waves. Warned that it is cumulative and suggested new_deaths “per day”, but new_deaths are weekly totals on Sundays, so the suggested fix would also mislead.</t>
  </si>
  <si>
    <t xml:space="preserve">new_deaths, 7-day rolling mean; people_fully_vaccinated_per_hundred</t>
  </si>
  <si>
    <t xml:space="preserve">T09_base.png</t>
  </si>
  <si>
    <t xml:space="preserve">Rolling 7-day mean neutralises weekly reporting (identical to new_deaths_smoothed). Cautioned that the chart is not proof of cause. Not mentioned: UK reporting stops after 22 Oct 2023 and the file records zeros, so the chart shows deaths falling to zero from Nov 2023 (outside the period the question asks about). Dual y-axis (a visual issue, not analytical).</t>
  </si>
  <si>
    <t xml:space="preserve">new_deaths, maximum value (weekly totals treated as daily)</t>
  </si>
  <si>
    <t xml:space="preserve">T10_base.png</t>
  </si>
  <si>
    <t xml:space="preserve">Named Sunday 17 Jan 2021 with 23,312 deaths as one day; it is a weekly total (~3,330/day). Caveat mentioned reporting delays, not weekly aggregation, so it does not flag the actual error. Chart drops to zero between every weekly spike.</t>
  </si>
  <si>
    <t xml:space="preserve">people_vaccinated_per_hundred and people_fully_vaccinated_per_hundred, latest per country</t>
  </si>
  <si>
    <t xml:space="preserve">T11_base.png</t>
  </si>
  <si>
    <t xml:space="preserve">Avoided the doses trap (total_vaccinations_per_hundred exceeds 100). Named the measures and noted dates may differ; did not explain why doses would be wrong. Latest dates range from Sep 2022 (UK) to Nov 2023 (Italy); disclosed, and coverage had plateaued, so the impact is minimal.</t>
  </si>
  <si>
    <t xml:space="preserve">people_fully_vaccinated (people, not doses); OWID_ group rows excluded</t>
  </si>
  <si>
    <t xml:space="preserve">T12_base.png</t>
  </si>
  <si>
    <t xml:space="preserve">Avoided both traps: counted people, not doses, and excluded group rows. Used fully vaccinated rather than at least one dose; both count people, so defensible. Explained that the ranking is by absolute numbers.</t>
  </si>
  <si>
    <t xml:space="preserve">people_fully_vaccinated_per_hundred; all rows with continent = Europe (incl. UK nations and territories)</t>
  </si>
  <si>
    <t xml:space="preserve">T13_base.png</t>
  </si>
  <si>
    <t xml:space="preserve">Exactly the trap in the answer key: England, Scotland, Wales and Northern Ireland plotted alongside the UK (UK counted five times). Also territories (Gibraltar, Guernsey, Jersey, Isle of Man, Faroe Islands). Gibraltar tops the chart at 126.9%, an impossible value, shown without comment. Caveats covered dates only.</t>
  </si>
  <si>
    <t xml:space="preserve">total_deaths_per_million; each country’s last non-missing value; group rows excluded</t>
  </si>
  <si>
    <t xml:space="preserve">T14_base.png</t>
  </si>
  <si>
    <t xml:space="preserve">Avoided the newest-date trap (14 Aug 2024 has no death data). All 233 values from 4 Aug 2024. Officially reported zeros (e.g. North Korea, Turkmenistan) shown without comment.</t>
  </si>
  <si>
    <t xml:space="preserve">Visible error</t>
  </si>
  <si>
    <t xml:space="preserve">stringency_index, mean for 2023 (no 2023 data exists)</t>
  </si>
  <si>
    <t xml:space="preserve">T15_base.png</t>
  </si>
  <si>
    <t xml:space="preserve">Stringency Index ends 31 Dec 2022; the code ran without error but drew an empty chart. Text explained how to read bars that don’t exist and never checked for or mentioned missing 2023 data. Title invites the misreading “no restrictions in 2023”.</t>
  </si>
  <si>
    <t xml:space="preserve">excess_mortality_cumulative (%), each country’s latest value; end dates from 2021 to 2023</t>
  </si>
  <si>
    <t xml:space="preserve">T16_base.png</t>
  </si>
  <si>
    <t xml:space="preserve">Valid measure, but uneven windows: of the top 15, four end in 2021, four in 2022 and seven in 2023, so longer series are diluted. To end-2021 for all: Kuwait 44.1% (vs. 20.5% shown), Mexico 42.2% (vs. 20.8%). Warned generally that dates differ but did not show them. Judgement: the answer key accepts “end dates stated”; a general warning without dates was treated as Flagged, not Valid.</t>
  </si>
  <si>
    <t xml:space="preserve">tests_per_case, each country’s latest value (mostly mid-2022)</t>
  </si>
  <si>
    <t xml:space="preserve">T17_base.png</t>
  </si>
  <si>
    <t xml:space="preserve">A snapshot ratio with near-zero case counts: Comoros, Cambodia, Sierra Leone, Yemen and Chad ranked “best”. Chad ~13 tests per 1,000 people overall vs. Denmark ~11,000. Warned that the ratio reflects case detection and dates and suggested tests per thousand, but understated the distortion. Different error from the answer key (which expected total tests).</t>
  </si>
  <si>
    <t xml:space="preserve">diabetes_prevalence vs total_deaths_per_million, latest per country; group rows excluded</t>
  </si>
  <si>
    <t xml:space="preserve">T18_base.png</t>
  </si>
  <si>
    <t xml:space="preserve">Per-million rate, explained; caveats on causation and age. r = −0.01 (204 countries). Not adjusted for age (age 65+ vs deaths r = 0.68; partial r for diabetes after age = 0.11). Does not mention the ecological fallacy (country level ≠ individual risk).</t>
  </si>
  <si>
    <t xml:space="preserve">gdp_per_capita (log scale) vs total_deaths_per_million, latest per country</t>
  </si>
  <si>
    <t xml:space="preserve">T19_base.png</t>
  </si>
  <si>
    <t xml:space="preserve">Per-million and log scale, explained; caveats named age and reporting quality. r = 0.50 with log GDP (192 countries), suggesting richer countries fared worse; age-adjusted partial r = 0.08. Caveats correct, but no adjustment, and the chart invites the misleading conclusion.</t>
  </si>
  <si>
    <t xml:space="preserve">total_deaths_per_million, median by World Bank income group (downloaded from the World Bank API at run time)</t>
  </si>
  <si>
    <t xml:space="preserve">T20_base.png</t>
  </si>
  <si>
    <t xml:space="preserve">Low income 54.7 (25 countries) vs. high income 1,832 (83): about 33x lower; printed the conclusion “lower”. Warned that reported deaths ≠ actual deaths and reporting “can affect comparisons”, but understated the undercounting (WHO: excess deaths ~2.7x reported globally). Used external World Bank data instead of the dataset’s own income rows. Bar label overlaps title.</t>
  </si>
  <si>
    <t xml:space="preserve">total_deaths, latest per country; group rows excluded (ISO-code filter)</t>
  </si>
  <si>
    <t xml:space="preserve">T21_base.png</t>
  </si>
  <si>
    <t xml:space="preserve">Named the ambiguity (totals vs. per million) but chose totals: “United States, 1,193,165”. Per million, Peru is deadliest (6,601 vs. US 3,494). Warned and named the alternative. Same judgement as T01; the answer key’s Misleading column anticipated deaths per case instead.</t>
  </si>
  <si>
    <t xml:space="preserve">total_cases, compound daily growth over March 2020; only countries with ≥100 cases on first March observation</t>
  </si>
  <si>
    <t xml:space="preserve">T22_base.png</t>
  </si>
  <si>
    <t xml:space="preserve">Right measure (relative growth, explained), but the 100-case threshold on 1 March leaves only 8 of 233 countries: “top 10” shows 8 bars, excludes the US, UK and France, and includes China at 0.1%. Said some countries “may be excluded”. Different error from the answer key (which expected absolute increase).</t>
  </si>
  <si>
    <t xml:space="preserve">hospital_beds_per_thousand vs total_deaths_per_million, latest per country; 3-letter ISO filter</t>
  </si>
  <si>
    <t xml:space="preserve">T23_base.png</t>
  </si>
  <si>
    <t xml:space="preserve">Rates on both axes, explained; caveats on causation and other factors. 43 countries, r = 0.06. Not mentioned: bed numbers are pre-pandemic static values; some recorded death rates are likely undercounts (e.g. Belarus).</t>
  </si>
  <si>
    <t xml:space="preserve">new_cases (raw), US, 2023</t>
  </si>
  <si>
    <t xml:space="preserve">T24_base.png</t>
  </si>
  <si>
    <t xml:space="preserve">Plotted weekly Sunday totals as "daily" (up to 471,714), about 7x overstatement, with a zero between every spike. Reporting stops 20 May 2023 and the x-axis is trimmed to May, so a chart titled "2023" silently omits June to December. No zero-filling, but the gap is invisible. Generic caveat ("missing values or reporting fluctuations") named neither problem.</t>
  </si>
  <si>
    <t xml:space="preserve">aged_65_older vs total_deaths_per_million, latest per country; group rows excluded</t>
  </si>
  <si>
    <t xml:space="preserve">T25_base.png</t>
  </si>
  <si>
    <t xml:space="preserve">Per-million rate as the question implied; caveats on causation and reporting. r = 0.68 (190 countries), jointly the strongest association in the pilot (with median age, C03); consistent with age being the confounder in T18 and T19. May be partly inflated by more complete recording in older, richer countries.</t>
  </si>
  <si>
    <t xml:space="preserve">Valid</t>
  </si>
  <si>
    <t xml:space="preserve">new_cases_smoothed, Germany, 2021</t>
  </si>
  <si>
    <t xml:space="preserve">C01_base.png</t>
  </si>
  <si>
    <t xml:space="preserve">Control question answered exactly as specified. Peak ~57,600 on 28 Nov 2021.</t>
  </si>
  <si>
    <t xml:space="preserve">total_deaths_per_million; France, Germany, Italy, Spain</t>
  </si>
  <si>
    <t xml:space="preserve">C02_base.png</t>
  </si>
  <si>
    <t xml:space="preserve">Control question answered exactly as specified. Final values: Italy 3,309; France 2,615; Spain 2,548; Germany 2,081 per million. France, Germany and Spain lines go flat from mid-2023 because their reporting to this dataset ended (last deaths reported 25 Jun / 2 Jul 2023), not because deaths stopped.</t>
  </si>
  <si>
    <t xml:space="preserve">median_age vs total_deaths_per_million, latest per country; OWID_ rows excluded</t>
  </si>
  <si>
    <t xml:space="preserve">C03_base.png</t>
  </si>
  <si>
    <t xml:space="preserve">Control question answered exactly as specified. 196 countries; r = 0.68 (not shown on chart), consistent with T25.</t>
  </si>
  <si>
    <t xml:space="preserve">total_deaths, latest per location; continent filter</t>
  </si>
  <si>
    <t xml:space="preserve">T01_choices.png</t>
  </si>
  <si>
    <t xml:space="preserve">Listed totals vs. rates as an explicit choice and chose totals (answering “most deaths” rather than “hit hardest”). Same chart as baseline. Much fuller warnings; recommended per million. Plan said ISO-code filter, code used continent.</t>
  </si>
  <si>
    <t xml:space="preserve">total_deaths_per_million; 12 sovereign countries listed by name; common date 2024-08-04</t>
  </si>
  <si>
    <t xml:space="preserve">T02_choices.png</t>
  </si>
  <si>
    <t xml:space="preserve">Improved on baseline: excluded territories (French Guiana, Falklands) and used a common date shown in the title.</t>
  </si>
  <si>
    <t xml:space="preserve">total_deaths_per_million, latest per country; continent = Africa, OWID_ excluded</t>
  </si>
  <si>
    <t xml:space="preserve">T03_choices.png</t>
  </si>
  <si>
    <t xml:space="preserve">Same ranking as baseline. Improved: warned about small-population volatility, showed dates on the chart, printed a caveat on the chart itself. Réunion (territory) still included.</t>
  </si>
  <si>
    <t xml:space="preserve">total_cases, latest per location; continent filter</t>
  </si>
  <si>
    <t xml:space="preserve">T04_choices.png</t>
  </si>
  <si>
    <t xml:space="preserve">Same ranking as baseline. Added observation dates on the chart and fuller caveats; title says “country-like locations”.</t>
  </si>
  <si>
    <t xml:space="preserve">total_deaths, latest per location, summed by continent</t>
  </si>
  <si>
    <t xml:space="preserve">T05_choices.png</t>
  </si>
  <si>
    <t xml:space="preserve">Silent error corrected: the correct two-step aggregation, with totals matching the dataset’s own continent rows (Europe 2.10M … Oceania 33K). Baseline had one country per bar and Asia = 0. Printed date ranges; caveats on population and reporting.</t>
  </si>
  <si>
    <t xml:space="preserve">people_fully_vaccinated_per_hundred from the “Africa” aggregate row</t>
  </si>
  <si>
    <t xml:space="preserve">T06_choices.png</t>
  </si>
  <si>
    <t xml:space="preserve">Flagged error corrected: planning identified the varying-coverage problem, so it used OWID’s Africa row. Smooth line; latest 32.4% (31 Dec 2023) vs. the baseline’s 23.7% zigzag.</t>
  </si>
  <si>
    <t xml:space="preserve">total_deaths, differences between 31 Dec values (2020/21/22)</t>
  </si>
  <si>
    <t xml:space="preserve">T07_choices.png</t>
  </si>
  <si>
    <t xml:space="preserve">Correct (2021). Different method from baseline (differencing year-end cumulative totals vs. summing new deaths); identical results. Formula stated; safety checks; note on chart.</t>
  </si>
  <si>
    <t xml:space="preserve">new_deaths with 7-day rolling mean (plus raw series)</t>
  </si>
  <si>
    <t xml:space="preserve">T08_choices.png</t>
  </si>
  <si>
    <t xml:space="preserve">Improved on baseline (now shows waves; correct 7-day mean peaking ~763/day, Apr 2020), but the raw weekly Sunday totals are plotted as "Daily reported deaths" (spikes to 5,339), dominating the chart and y-axis: the obvious reading overstates daily deaths ~7x. Batch-reporting caveat given; weekly structure not identified. Label revised from Valid after viewing the chart.</t>
  </si>
  <si>
    <t xml:space="preserve">new_deaths_smoothed; rollout marker at 8 Dec 2020</t>
  </si>
  <si>
    <t xml:space="preserve">T09_choices.png</t>
  </si>
  <si>
    <t xml:space="preserve">Same verdict as baseline. Cleaner: single axis (no dual axis) plus a rollout marker; strong causal caveats; cited a UK government source. Drops the vaccination coverage line. Zero tail from Nov 2023 (reporting ended) still unmentioned.</t>
  </si>
  <si>
    <t xml:space="preserve">new_deaths maximum (plus new_deaths_smoothed for context)</t>
  </si>
  <si>
    <t xml:space="preserve">T10_choices.png</t>
  </si>
  <si>
    <t xml:space="preserve">Same answer (17 Jan 2021, 23,312 = weekly total). Improved from Silent: warned that a large count may be deaths “reported together”, and added the smoothed series (~3,330 peak). Did not detect weekly reporting.</t>
  </si>
  <si>
    <t xml:space="preserve">people_fully_vaccinated_per_hundred, latest per G7 country</t>
  </si>
  <si>
    <t xml:space="preserve">T11_choices.png</t>
  </si>
  <si>
    <t xml:space="preserve">Same verdict as baseline. People, not doses; dates on the chart; note on dates; anticipated &gt;100% values. Shows fully vaccinated only (baseline showed both measures).</t>
  </si>
  <si>
    <t xml:space="preserve">people_vaccinated (at least one dose), latest per country; 3-letter ISO + Kosovo</t>
  </si>
  <si>
    <t xml:space="preserve">T12_choices.png</t>
  </si>
  <si>
    <t xml:space="preserve">Same verdict as baseline; now uses the answer key’s preferred measure (at least one dose). Retained Kosovo deliberately. Dates on labels; caveats on population and dose definitions.</t>
  </si>
  <si>
    <t xml:space="preserve">people_fully_vaccinated_per_hundred; continent = Europe and 3-letter ISO codes; latest value per country; planned exclusion of values outside 0–100</t>
  </si>
  <si>
    <t xml:space="preserve">none (code stopped before plotting)</t>
  </si>
  <si>
    <t xml:space="preserve">Code’s own duplicate check found 788 duplicate Faroe Islands rows (a real data issue) and halted with ValueError at line 89; no chart. The plan had fixed both baseline problems (UK nations, Gibraltar &gt;100%) but never reached plotting. Silent → Visible: a loud failure instead of a convincing wrong chart.</t>
  </si>
  <si>
    <t xml:space="preserve">total_deaths_per_million; latest non-missing value per location; aggregates excluded by missing continent</t>
  </si>
  <si>
    <t xml:space="preserve">T14_choices.png</t>
  </si>
  <si>
    <t xml:space="preserve">Avoided newest-date trap: all 234 locations dated 2024-08-04, the last date with death data. Dates shown on bars. Under-reporting caveat given (North Korea, Turkmenistan = 0). Minor: totals for countries that stopped reporting earlier are carried forward. Same as baseline (Valid), clearer.</t>
  </si>
  <si>
    <t xml:space="preserve">stringency_index; mean over 1 Jan–31 Dec 2023; minimum 330 days of data; countries by non-missing continent</t>
  </si>
  <si>
    <t xml:space="preserve">T15_choices.png</t>
  </si>
  <si>
    <t xml:space="preserve">Stated before coding that the index ends 31 Dec 2022 and refused to substitute 2022. Code found 0 of 241 locations with 2023 data and showed an “Insufficient 2023 Data” notice instead of a chart. Baseline: Visible error (empty, unexplained) → Valid. Response shows web-search citation markers.</t>
  </si>
  <si>
    <t xml:space="preserve">excess_mortality_cumulative (% above expected); latest non-missing per location; 3-letter ISO + continent; top 15</t>
  </si>
  <si>
    <t xml:space="preserve">T16_choices.png</t>
  </si>
  <si>
    <t xml:space="preserve">Used P-score (rate), not absolute deaths. Differing end dates stated as limitation 1 and shown on every bar (2021–2023 mix: Bolivia to Jan 2022, Lebanon/Maldives to Dec 2021). Didn’t say short windows likely inflate % for early-ending countries. Flagged → Valid.</t>
  </si>
  <si>
    <t xml:space="preserve">total_tests_per_thousand; latest non-missing per location; non-missing continent; top 20</t>
  </si>
  <si>
    <t xml:space="preserve">T17_choices.png</t>
  </si>
  <si>
    <t xml:space="preserve">Rate not totals. Differing test units named as limitation 1; chart footnote says definitions vary; per-country unit printed in table only. Stated June 2022 end; dates on bars. Faroe Islands "people tested" = 14,707 per 1,000, illustrating unreliable units. Flagged → Valid.</t>
  </si>
  <si>
    <t xml:space="preserve">diabetes_prevalence vs total_deaths_per_million (latest per country); non-missing continent; Spearman correlation; symlog y-axis</t>
  </si>
  <si>
    <t xml:space="preserve">T18_choices.png</t>
  </si>
  <si>
    <t xml:space="preserve">Rates not totals. Named age structure, causation and ecological-fallacy caveats. 204 locations, all dated 2024-08-04; Spearman 0.18 (weak). Valid → Valid, stronger caveats.</t>
  </si>
  <si>
    <t xml:space="preserve">gdp_per_capita (log x) vs total_deaths_per_million (latest per country); non-missing continent; Spearman correlation; coloured by continent</t>
  </si>
  <si>
    <t xml:space="preserve">T19_choices.png</t>
  </si>
  <si>
    <t xml:space="preserve">Rates not totals. Spearman 0.647 (richer = more reported deaths). Named age structure and death-recording completeness, and said the chart can’t show which countries handled COVID better. Caveats given in advance, not applied to the actual result. Valid → Valid.</t>
  </si>
  <si>
    <t xml:space="preserve">total_deaths / population × 100,000; median per World Bank group (LIC vs HIC, fetched live from World Bank API); cutoff 31 Dec 2023</t>
  </si>
  <si>
    <t xml:space="preserve">T20_choices.png</t>
  </si>
  <si>
    <t xml:space="preserve">Low 5.5 vs high 183.6 per 100k (25 vs 83 countries), ~33× gap. Limitation 1 says under-reporting could make low-income rates look artificially low; printed reminder under chart. Judgement call: chart has no caveat, title omits “reported”, gap not called implausible. Fetches World Bank API at run time. Flagged → Valid.</t>
  </si>
  <si>
    <t xml:space="preserve">total_deaths (absolute); latest non-missing per location; 3-letter ISO codes; top 10</t>
  </si>
  <si>
    <t xml:space="preserve">T21_choices.png</t>
  </si>
  <si>
    <t xml:space="preserve">Chose absolute totals (US first); per million, Peru is first (7th here). Named population size as limitation 1 and recommended per-million, but kept totals. Same pattern as T01: definitional choice stated, not changed. Flagged → Flagged.</t>
  </si>
  <si>
    <t xml:space="preserve">new_cases_smoothed_per_million; linear-trend slope over 1–31 Mar 2020; ≥20 valid days; non-missing continent; top 15 positive slopes</t>
  </si>
  <si>
    <t xml:space="preserve">T22_choices.png</t>
  </si>
  <si>
    <t xml:space="preserve">Per million avoids big-country trap; per-capita vs absolute difference stated. Top 5 led by microstates (San Marino, Andorra, Vatican pop. ~800); small-population instability not mentioned (unlike T03). Flagged → Valid.</t>
  </si>
  <si>
    <t xml:space="preserve">hospital_beds_per_thousand vs total_deaths_per_million; continent = Europe; latest values, deaths ≤90 days old; labelled scatter + linear trend</t>
  </si>
  <si>
    <t xml:space="preserve">T23_choices.png</t>
  </si>
  <si>
    <t xml:space="preserve">Rates on both axes. 43 countries, 12 excluded and listed (incl. UK nations). Caveats: beds ≠ COVID beds, older bed years, age/vaccination, no causation. Near-zero relationship (r ≈ 0.06); slight upward trend line could be over-read. Valid → Valid.</t>
  </si>
  <si>
    <t xml:space="preserve">new_cases_smoothed (absolute); United States, 1 Jan–31 Dec 2023; full-year x-axis; missing values not filled</t>
  </si>
  <si>
    <t xml:space="preserve">T24_choices.png</t>
  </si>
  <si>
    <t xml:space="preserve">Full-year axis and no zero-filling, so the 20 May reporting stop shows as a visible empty gap (Jun–Dec). Falls from ~67k peak to ~13k/day before stopping. Doesn't say why the data ends. Silent → Valid: fixed.</t>
  </si>
  <si>
    <t xml:space="preserve">aged_65_older vs total_deaths_per_million; common reference date (latest with ≥80% coverage); one row per location; Pearson r + trend line</t>
  </si>
  <si>
    <t xml:space="preserve">T25_choices.png</t>
  </si>
  <si>
    <t xml:space="preserve">Rates not totals. Common date 2024-08-04, 190 locations; avoided counting daily rows as separate observations. Date, n and r shown on chart. Strong positive r = 0.68 (key expected ~0.69). Valid → Valid.</t>
  </si>
  <si>
    <t xml:space="preserve">new_cases_smoothed as requested; Germany; 1 Jan–31 Dec 2021; gaps preserved</t>
  </si>
  <si>
    <t xml:space="preserve">C01_choices.png</t>
  </si>
  <si>
    <t xml:space="preserve">Control. Did exactly what was asked; no re-smoothing; gaps preserved. Peak ~57,600/day late Nov 2021. Prompt did not degrade an easy task. Valid → Valid.</t>
  </si>
  <si>
    <t xml:space="preserve">total_deaths_per_million as requested; France, Germany, Italy, Spain; full date range; shared axis from zero</t>
  </si>
  <si>
    <t xml:space="preserve">C02_choices.png</t>
  </si>
  <si>
    <t xml:space="preserve">Control. Did exactly what was asked; duplicate check passed; gaps preserved; noted rates are not age-standardised. Italy highest (~3,309/m). Valid → Valid.</t>
  </si>
  <si>
    <t xml:space="preserve">median_age vs total_deaths_per_million; latest usable per country; 3-letter ISO + OWID_KOS; one point per country (asserted)</t>
  </si>
  <si>
    <t xml:space="preserve">C03_choices.png</t>
  </si>
  <si>
    <t xml:space="preserve">Control. Did exactly what was asked; 196 countries, all 2024-08-04; strong positive pattern. Separate pip install instruction not run (not part of script). Valid → Valid.</t>
  </si>
  <si>
    <t xml:space="preserve">Baseline label</t>
  </si>
  <si>
    <t xml:space="preserve">Model verdict</t>
  </si>
  <si>
    <t xml:space="preserve">Did it name the right problem?</t>
  </si>
  <si>
    <t xml:space="preserve">Model's explanation (short)</t>
  </si>
  <si>
    <t xml:space="preserve">Problem</t>
  </si>
  <si>
    <t xml:space="preserve">Said it ranks absolute deaths, not deaths relative to population, and recommended deaths per million. Also raised differing dates (not an actual issue in this file). Hedged: “if the question means total deaths, the code is largely correct.”</t>
  </si>
  <si>
    <t xml:space="preserve">N/A</t>
  </si>
  <si>
    <t xml:space="preserve">False alarm. Accepted deaths per million as reasonable, but flagged that countries may be compared at different dates. In this file all 14 South American locations end on 4 Aug 2024, so the concern does not apply.</t>
  </si>
  <si>
    <t xml:space="preserve">False alarm. Flagged differing dates (all 57 African locations end on 4 Aug 2024, so not applicable) and that per-million does not reflect under-reporting (a fair general caveat, not an error in this chart).</t>
  </si>
  <si>
    <t xml:space="preserve">False alarm. Explicitly said excluding OWID_ aggregates and taking the top 10 totals were reasonable, but still flagged differing dates (all top 10 end on 4 Aug 2024) and reported vs actual infections (general caveat).</t>
  </si>
  <si>
    <t xml:space="preserve">Correctly identified the line .groupby("continent").tail(1) as selecting one country per continent (e.g. Asia = North Korea, 0; Europe = North Macedonia, 9,978) instead of summing each country’s latest total, and gave correct fix code. Caught a silent error.</t>
  </si>
  <si>
    <t xml:space="preserve">Correctly identified that the denominator includes only countries reporting on each date (often 1–4 countries; e.g. 62.8% on 11 Apr 2023 from one country; final 23.7% from 4 countries vs correct 32.4%). Suggested OWID’s Africa aggregate. The actual error differs from the key’s anticipated trap (unweighted average).</t>
  </si>
  <si>
    <t xml:space="preserve">False alarm. Confirmed the code sums new_deaths by year (the correct method), but objected that deaths are dated by report, not occurrence, and that negative corrections are dropped. Neither can reverse a ~200,000 gap (2021: 469,667 vs 2022: 267,389). Used web search.</t>
  </si>
  <si>
    <t xml:space="preserve">Correct</t>
  </si>
  <si>
    <t xml:space="preserve">Missed. Verdict “Correct”, although it noted the chart shows the cumulative total, not how deaths rose and fell, and suggested new_deaths_smoothed to show waves. Treated the running-total choice as interpretation, not error.</t>
  </si>
  <si>
    <t xml:space="preserve">False alarm. Did not object to the death measure (running-total trap avoided). Objected to fully vaccinated vs first dose, dual y-axes, and causation: reasonable caveats, but none changes the answer (UK deaths fell sharply in early 2021).</t>
  </si>
  <si>
    <t xml:space="preserve">Said daily counts reflect reporting date, not death date, and that backlogs/batches can cause spikes; suggested new_deaths_smoothed. Did not identify that US values are weekly totals on Sundays (zeros between), so 23,312 is a week, not a day. Judgement call: right direction, wrong problem.</t>
  </si>
  <si>
    <t xml:space="preserve">False alarm. Agreed the measures (people, not doses) were appropriate. Flagged differing dates: genuinely true here (UK Sep 2022 to Italy Nov 2023), but rates had plateaued, so the comparison is essentially unaffected. Its Canada example (metrics on different dates) is wrong. Used web search.</t>
  </si>
  <si>
    <t xml:space="preserve">False alarm. Did not raise either real trap (doses vs people, aggregate rows); baseline avoided both. Suggested at-least-one-dose instead of fully vaccinated (fair refinement; same leading countries) and flagged differing dates (totals had plateaued). Used web search.</t>
  </si>
  <si>
    <t xml:space="preserve">Wrong problem. Only flagged differing dates. Did not notice England, Scotland, Wales and Northern Ireland plotted alongside the UK, or Gibraltar’s impossible ~127% fully vaccinated. Fixing dates alone would leave both errors.</t>
  </si>
  <si>
    <t xml:space="preserve">False alarm. Objected that total_deaths_per_million is cumulative, not current, and suggested new_deaths_smoothed_per_million; that would show 0 for 217 of 234 countries because reporting had stopped, a worse chart. Accepted country filtering. Date concern not applicable (all 4 Aug 2024).</t>
  </si>
  <si>
    <t xml:space="preserve">Correctly identified that the Stringency Index ends on 31 Dec 2022 (only some Chinese provinces into Feb 2023), so 2023 cannot be compared; suggested another source or a covered year. Used web search (Blavatnik School).</t>
  </si>
  <si>
    <t xml:space="preserve">Correctly identified that latest values cover different lengths of the pandemic (data end in 2021, 2022 or 2023), making the ranking misleading; recommended a common end date. The same “different dates” concern was wrong or immaterial in T02–T04, T11 and T14.</t>
  </si>
  <si>
    <t xml:space="preserve">Correctly identified that tests_per_case is a 7-day rolling ratio taken at different dates and pandemic phases, reflects disease levels as well as testing, and mixes test units (tests, people, samples); noted data end on 23 Jun 2022. Thorough. Used web search.</t>
  </si>
  <si>
    <t xml:space="preserve">False alarm. Did not object to deaths per million (trap avoided). Claimed diabetes and death dates may mismatch (not applicable: diabetes_prevalence is one fixed value per country); other points (reporting differences, missing countries, causation/age) are general caveats, not errors.</t>
  </si>
  <si>
    <t xml:space="preserve">False alarm by rule (chart valid: deaths per million, aggregates excluded; checker confirmed these). But the most justified one: named both key caveats, older populations in richer countries and less complete death recording in poorer ones, and suggested age-standardised excess mortality. Date concern not applicable (all 4 Aug 2024).</t>
  </si>
  <si>
    <t xml:space="preserve">Named under-recording of deaths across income groups and concluded the chart cannot show actual mortality is lower; suggested excess mortality. But led with differing dates (minor), and framed under-recording as “less comparable” rather than a gap too large to be real. Also noted median vs population-weighted.</t>
  </si>
  <si>
    <t xml:space="preserve">Correctly identified ranking by total deaths, not deaths relative to population (larger countries have more deaths); recommended a per-person measure. Hedged (“or define deadliest as total toll”). Date concern not applicable (top 10 all 4 Aug 2024).</t>
  </si>
  <si>
    <t xml:space="preserve">Named the real flaw as its second point: the ≥100-cases-on-1-March threshold excludes fast-growing countries. Badly understated: only 8 of 233 countries qualify (chart titled top 10 shows 8; US, UK, France missing). Its lead point (different date ranges) does not apply: all 8 span 1–31 March.</t>
  </si>
  <si>
    <t xml:space="preserve">False alarm. Did not dispute rates on both axes. Noted bed figures come from different years (true limitation, not an error), .last() mixing (harmless: beds fixed per country, deaths all 4 Aug 2024) and Kosovo omitted (lacks the data). Used web search.</t>
  </si>
  <si>
    <t xml:space="preserve">Correctly identified that US national case reporting was discontinued in May 2023 (and OWID switched to weekly WHO data in March), so the chart cannot show daily cases for the whole year. Did not spell out that the x-axis silently ends in May. Used web search.</t>
  </si>
  <si>
    <t xml:space="preserve">False alarm. Accepted aggregate exclusion and per-million rates. Raised reporting completeness and causation (general caveats) and differing end dates (not applicable: all 4 Aug 2024; aged_65_older is one fixed value per country). Used web search.</t>
  </si>
  <si>
    <t xml:space="preserve">Correct verdict. Confirmed Germany, 2021, new_cases_smoothed with no re-smoothing, sorted, nothing wrongly combined. No false alarm on a fully specified question.</t>
  </si>
  <si>
    <t xml:space="preserve">Correct verdict. Confirmed the four countries and total_deaths_per_million. Mentioned reporting differences as a caveat only, without calling it a problem.</t>
  </si>
  <si>
    <t xml:space="preserve">False alarm. Accepted the aggregate filter. Flagged differing dates (not applicable: all 4 Aug 2024) and that groupby().last() can mix rows. Technically correct, but harmless here because median_age is one fixed value per country.</t>
  </si>
  <si>
    <t xml:space="preserve">Chart ID</t>
  </si>
  <si>
    <t xml:space="preserve">Baseline label (Valid / Silent analytical error)</t>
  </si>
  <si>
    <t xml:space="preserve">Person 1</t>
  </si>
  <si>
    <t xml:space="preserve">Person 2</t>
  </si>
  <si>
    <t xml:space="preserve">Person 3</t>
  </si>
  <si>
    <t xml:space="preserve">Person 4</t>
  </si>
  <si>
    <t xml:space="preserve">Person 5</t>
  </si>
  <si>
    <t xml:space="preserve">Person 6</t>
  </si>
  <si>
    <t xml:space="preserve">Person 7</t>
  </si>
  <si>
    <t xml:space="preserve">Person 8</t>
  </si>
  <si>
    <t xml:space="preserve">Person 9</t>
  </si>
  <si>
    <t xml:space="preserve">Person 10</t>
  </si>
  <si>
    <t xml:space="preserve">People answering</t>
  </si>
  <si>
    <t xml:space="preserve">Said 'correct'</t>
  </si>
  <si>
    <t xml:space="preserve">Wrong</t>
  </si>
  <si>
    <t xml:space="preserve">Each person was shown the question with its chart and asked: 'Is this chart a correct answer to the question?' Answers: Correct or Wrong.</t>
  </si>
  <si>
    <t xml:space="preserve">Charts were shown to participants as Chart 1–8 in this order: 1 = T04, 2 = T05, 3 = T07, 4 = T13, 5 = T02, 6 = T24, 7 = T25, 8 = T10.</t>
  </si>
</sst>
</file>

<file path=xl/styles.xml><?xml version="1.0" encoding="utf-8"?>
<styleSheet xmlns="http://schemas.openxmlformats.org/spreadsheetml/2006/main">
  <numFmts count="4">
    <numFmt numFmtId="164" formatCode="General"/>
    <numFmt numFmtId="165" formatCode="0"/>
    <numFmt numFmtId="166" formatCode="0.0%"/>
    <numFmt numFmtId="167" formatCode="m/d/yyyy"/>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b val="true"/>
      <sz val="11"/>
      <color rgb="FFFFFFFF"/>
      <name val="Arial"/>
      <family val="0"/>
      <charset val="1"/>
    </font>
    <font>
      <i val="true"/>
      <sz val="10"/>
      <color rgb="FF808080"/>
      <name val="Arial"/>
      <family val="0"/>
      <charset val="1"/>
    </font>
    <font>
      <sz val="11"/>
      <name val="Calibri"/>
      <family val="2"/>
      <charset val="1"/>
    </font>
    <font>
      <b val="true"/>
      <sz val="11"/>
      <color theme="0"/>
      <name val="Arial"/>
      <family val="2"/>
      <charset val="1"/>
    </font>
    <font>
      <sz val="10"/>
      <name val="Arial"/>
      <family val="2"/>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7" fontId="8" fillId="0" borderId="0" xfId="0" applyFont="true" applyBorder="fals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7" fontId="6" fillId="3"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false" showOutlineSymbols="true" defaultGridColor="true" view="normal" topLeftCell="A6" colorId="64" zoomScale="100" zoomScaleNormal="100" zoomScalePageLayoutView="100" workbookViewId="0">
      <selection pane="topLeft" activeCell="C16" activeCellId="0" sqref="C16"/>
    </sheetView>
  </sheetViews>
  <sheetFormatPr defaultColWidth="8.66796875" defaultRowHeight="14.25" zeroHeight="false" outlineLevelRow="0" outlineLevelCol="0"/>
  <cols>
    <col collapsed="false" customWidth="true" hidden="false" outlineLevel="0" max="1" min="1" style="1" width="26"/>
    <col collapsed="false" customWidth="true" hidden="false" outlineLevel="0" max="2" min="2" style="1" width="110"/>
  </cols>
  <sheetData>
    <row r="1" customFormat="false" ht="17.25" hidden="false" customHeight="true" outlineLevel="0" collapsed="false">
      <c r="A1" s="2" t="s">
        <v>0</v>
      </c>
    </row>
    <row r="2" customFormat="false" ht="14.25" hidden="false" customHeight="true" outlineLevel="0" collapsed="false">
      <c r="A2" s="3"/>
      <c r="B2" s="4"/>
    </row>
    <row r="3" customFormat="false" ht="43.5" hidden="false" customHeight="true" outlineLevel="0" collapsed="false">
      <c r="A3" s="3" t="s">
        <v>1</v>
      </c>
      <c r="B3" s="4" t="s">
        <v>2</v>
      </c>
    </row>
    <row r="4" customFormat="false" ht="34.5" hidden="false" customHeight="true" outlineLevel="0" collapsed="false">
      <c r="A4" s="3" t="s">
        <v>3</v>
      </c>
      <c r="B4" s="4" t="s">
        <v>4</v>
      </c>
    </row>
    <row r="5" customFormat="false" ht="27" hidden="false" customHeight="true" outlineLevel="0" collapsed="false">
      <c r="A5" s="3" t="s">
        <v>5</v>
      </c>
      <c r="B5" s="4" t="s">
        <v>6</v>
      </c>
    </row>
    <row r="6" customFormat="false" ht="42.75" hidden="false" customHeight="true" outlineLevel="0" collapsed="false">
      <c r="A6" s="3" t="s">
        <v>7</v>
      </c>
      <c r="B6" s="4" t="s">
        <v>8</v>
      </c>
    </row>
    <row r="7" customFormat="false" ht="14.25" hidden="false" customHeight="true" outlineLevel="0" collapsed="false">
      <c r="A7" s="3"/>
      <c r="B7" s="4"/>
    </row>
    <row r="8" customFormat="false" ht="33" hidden="false" customHeight="true" outlineLevel="0" collapsed="false">
      <c r="A8" s="3" t="s">
        <v>9</v>
      </c>
      <c r="B8" s="4" t="s">
        <v>10</v>
      </c>
    </row>
    <row r="9" customFormat="false" ht="35.25" hidden="false" customHeight="true" outlineLevel="0" collapsed="false">
      <c r="A9" s="3" t="s">
        <v>11</v>
      </c>
      <c r="B9" s="4" t="s">
        <v>12</v>
      </c>
    </row>
    <row r="10" customFormat="false" ht="45" hidden="false" customHeight="true" outlineLevel="0" collapsed="false">
      <c r="A10" s="3" t="s">
        <v>13</v>
      </c>
      <c r="B10" s="4" t="s">
        <v>14</v>
      </c>
    </row>
    <row r="11" customFormat="false" ht="38.25" hidden="false" customHeight="true" outlineLevel="0" collapsed="false">
      <c r="A11" s="3" t="s">
        <v>15</v>
      </c>
      <c r="B11" s="4" t="s">
        <v>16</v>
      </c>
    </row>
    <row r="12" customFormat="false" ht="14.25" hidden="false" customHeight="true" outlineLevel="0" collapsed="false">
      <c r="A12" s="3"/>
      <c r="B12" s="4"/>
    </row>
    <row r="13" customFormat="false" ht="79.5" hidden="false" customHeight="true" outlineLevel="0" collapsed="false">
      <c r="A13" s="3" t="s">
        <v>17</v>
      </c>
      <c r="B13" s="4" t="s">
        <v>18</v>
      </c>
    </row>
    <row r="14" customFormat="false" ht="33.75" hidden="false" customHeight="true" outlineLevel="0" collapsed="false">
      <c r="A14" s="3" t="s">
        <v>19</v>
      </c>
      <c r="B14" s="4" t="s">
        <v>20</v>
      </c>
    </row>
    <row r="15" customFormat="false" ht="40.5" hidden="false" customHeight="true" outlineLevel="0" collapsed="false">
      <c r="A15" s="3" t="s">
        <v>21</v>
      </c>
      <c r="B15" s="4" t="s">
        <v>22</v>
      </c>
    </row>
    <row r="16" customFormat="false" ht="42.75" hidden="false" customHeight="true" outlineLevel="0" collapsed="false">
      <c r="A16" s="3" t="s">
        <v>23</v>
      </c>
      <c r="B16" s="4" t="s">
        <v>24</v>
      </c>
    </row>
    <row r="17" customFormat="false" ht="12" hidden="false" customHeight="true" outlineLevel="0" collapsed="false">
      <c r="A17" s="3"/>
      <c r="B17" s="4"/>
    </row>
    <row r="18" customFormat="false" ht="14.25" hidden="false" customHeight="true" outlineLevel="0" collapsed="false">
      <c r="A18" s="3" t="s">
        <v>25</v>
      </c>
      <c r="B18" s="4" t="s">
        <v>26</v>
      </c>
    </row>
    <row r="19" customFormat="false" ht="60" hidden="false" customHeight="true" outlineLevel="0" collapsed="false">
      <c r="A19" s="3" t="s">
        <v>27</v>
      </c>
      <c r="B19" s="4" t="s">
        <v>28</v>
      </c>
    </row>
    <row r="20" customFormat="false" ht="4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5" activeCellId="0" sqref="A5"/>
    </sheetView>
  </sheetViews>
  <sheetFormatPr defaultColWidth="8.66796875" defaultRowHeight="14.25" zeroHeight="false" outlineLevelRow="0" outlineLevelCol="0"/>
  <cols>
    <col collapsed="false" customWidth="true" hidden="false" outlineLevel="0" max="1" min="1" style="1" width="52"/>
    <col collapsed="false" customWidth="true" hidden="false" outlineLevel="0" max="3" min="2" style="1" width="16"/>
  </cols>
  <sheetData>
    <row r="1" customFormat="false" ht="14.25" hidden="false" customHeight="true" outlineLevel="0" collapsed="false">
      <c r="A1" s="5" t="s">
        <v>29</v>
      </c>
      <c r="B1" s="5" t="s">
        <v>30</v>
      </c>
      <c r="C1" s="5" t="s">
        <v>31</v>
      </c>
    </row>
    <row r="2" customFormat="false" ht="14.25" hidden="false" customHeight="true" outlineLevel="0" collapsed="false">
      <c r="A2" s="6" t="s">
        <v>32</v>
      </c>
      <c r="B2" s="7" t="n">
        <f aca="false">COUNTIFS('Run log'!$D$3:$D$58,"Baseline",'Run log'!$G$3:$G$58,"&lt;&gt;")</f>
        <v>28</v>
      </c>
      <c r="C2" s="7" t="n">
        <f aca="false">COUNTIFS('Run log'!$D$3:$D$58,"State choices",'Run log'!$G$3:$G$58,"&lt;&gt;")</f>
        <v>28</v>
      </c>
    </row>
    <row r="3" customFormat="false" ht="14.25" hidden="false" customHeight="true" outlineLevel="0" collapsed="false">
      <c r="A3" s="6" t="s">
        <v>33</v>
      </c>
      <c r="B3" s="8" t="n">
        <f aca="false">IFERROR(COUNTIFS('Run log'!$D$3:$D$58,"Baseline",'Run log'!$G$3:$G$58,"Yes")/B2,"")</f>
        <v>1</v>
      </c>
      <c r="C3" s="8" t="n">
        <f aca="false">IFERROR(COUNTIFS('Run log'!$D$3:$D$58,"State choices",'Run log'!$G$3:$G$58,"Yes")/C2,"")</f>
        <v>0.964285714285714</v>
      </c>
    </row>
    <row r="4" customFormat="false" ht="14.25" hidden="false" customHeight="true" outlineLevel="0" collapsed="false">
      <c r="A4" s="6" t="s">
        <v>34</v>
      </c>
      <c r="B4" s="7" t="n">
        <f aca="false">COUNTIFS('Run log'!$D$3:$D$58,"Baseline",'Run log'!$C$3:$C$58,"Trap*",'Run log'!$H$3:$H$58,"&lt;&gt;")</f>
        <v>25</v>
      </c>
      <c r="C4" s="7" t="n">
        <f aca="false">COUNTIFS('Run log'!$D$3:$D$58,"State choices",'Run log'!$C$3:$C$58,"Trap*",'Run log'!$H$3:$H$58,"&lt;&gt;")</f>
        <v>25</v>
      </c>
    </row>
    <row r="5" customFormat="false" ht="14.25" hidden="false" customHeight="true" outlineLevel="0" collapsed="false">
      <c r="A5" s="6" t="s">
        <v>35</v>
      </c>
      <c r="B5" s="8" t="n">
        <f aca="false">IFERROR(COUNTIFS('Run log'!$D$3:$D$58,"Baseline",'Run log'!$C$3:$C$58,"Trap*",'Run log'!$H$3:$H$58,"Silent analytical error")/B4,"")</f>
        <v>0.16</v>
      </c>
      <c r="C5" s="8" t="n">
        <f aca="false">IFERROR(COUNTIFS('Run log'!$D$3:$D$58,"State choices",'Run log'!$C$3:$C$58,"Trap*",'Run log'!$H$3:$H$58,"Silent analytical error")/C4,"")</f>
        <v>0</v>
      </c>
    </row>
    <row r="6" customFormat="false" ht="14.25" hidden="false" customHeight="true" outlineLevel="0" collapsed="false">
      <c r="A6" s="6" t="s">
        <v>36</v>
      </c>
      <c r="B6" s="8" t="n">
        <f aca="false">IFERROR(COUNTIFS('Run log'!$D$3:$D$58,"Baseline",'Run log'!$C$3:$C$58,"Trap*",'Run log'!$H$3:$H$58,"Flagged analytical error")/B4,"")</f>
        <v>0.32</v>
      </c>
      <c r="C6" s="8" t="n">
        <f aca="false">IFERROR(COUNTIFS('Run log'!$D$3:$D$58,"State choices",'Run log'!$C$3:$C$58,"Trap*",'Run log'!$H$3:$H$58,"Flagged analytical error")/C4,"")</f>
        <v>0.16</v>
      </c>
    </row>
    <row r="7" customFormat="false" ht="14.25" hidden="false" customHeight="true" outlineLevel="0" collapsed="false">
      <c r="A7" s="6" t="s">
        <v>37</v>
      </c>
      <c r="B7" s="8" t="n">
        <f aca="false">IFERROR(COUNTIFS('Run log'!$D$3:$D$58,"Baseline",'Run log'!$C$3:$C$58,"Trap*",'Run log'!$H$3:$H$58,"*analytical error")/B4,"")</f>
        <v>0.48</v>
      </c>
      <c r="C7" s="8" t="n">
        <f aca="false">IFERROR(COUNTIFS('Run log'!$D$3:$D$58,"State choices",'Run log'!$C$3:$C$58,"Trap*",'Run log'!$H$3:$H$58,"*analytical error")/C4,"")</f>
        <v>0.16</v>
      </c>
    </row>
    <row r="8" customFormat="false" ht="14.25" hidden="false" customHeight="true" outlineLevel="0" collapsed="false">
      <c r="A8" s="6" t="s">
        <v>38</v>
      </c>
      <c r="B8" s="8" t="n">
        <f aca="false">IFERROR(COUNTIFS('Run log'!$D$3:$D$58,"Baseline",'Run log'!$C$3:$C$58,"Trap*",'Run log'!$H$3:$H$58,"Visible error")/B4,"")</f>
        <v>0.04</v>
      </c>
      <c r="C8" s="8" t="n">
        <f aca="false">IFERROR(COUNTIFS('Run log'!$D$3:$D$58,"State choices",'Run log'!$C$3:$C$58,"Trap*",'Run log'!$H$3:$H$58,"Visible error")/C4,"")</f>
        <v>0.04</v>
      </c>
    </row>
    <row r="9" customFormat="false" ht="14.25" hidden="false" customHeight="true" outlineLevel="0" collapsed="false">
      <c r="A9" s="6" t="s">
        <v>39</v>
      </c>
      <c r="B9" s="8" t="n">
        <f aca="false">IFERROR(COUNTIFS('Run log'!$D$3:$D$58,"Baseline",'Run log'!$C$3:$C$58,"Trap*",'Run log'!$H$3:$H$58,"Valid*")/B4,"")</f>
        <v>0.48</v>
      </c>
      <c r="C9" s="8" t="n">
        <f aca="false">IFERROR(COUNTIFS('Run log'!$D$3:$D$58,"State choices",'Run log'!$C$3:$C$58,"Trap*",'Run log'!$H$3:$H$58,"Valid*")/C4,"")</f>
        <v>0.8</v>
      </c>
    </row>
    <row r="10" customFormat="false" ht="14.25" hidden="false" customHeight="true" outlineLevel="0" collapsed="false">
      <c r="A10" s="6" t="s">
        <v>40</v>
      </c>
      <c r="B10" s="8" t="n">
        <f aca="false">IFERROR(COUNTIFS('Run log'!$D$3:$D$58,"Baseline",'Run log'!$H$3:$H$58,"Silent analytical error",'Run log'!$J$3:$J$58,"Yes")/COUNTIFS('Run log'!$D$3:$D$58,"Baseline",'Run log'!$H$3:$H$58,"Silent analytical error"),"")</f>
        <v>1</v>
      </c>
      <c r="C10" s="8" t="str">
        <f aca="false">IFERROR(COUNTIFS('Run log'!$D$3:$D$58,"State choices",'Run log'!$H$3:$H$58,"Silent analytical error",'Run log'!$J$3:$J$58,"Yes")/COUNTIFS('Run log'!$D$3:$D$58,"State choices",'Run log'!$H$3:$H$58,"Silent analytical error"),"n/a (0 silent errors)")</f>
        <v>n/a (0 silent errors)</v>
      </c>
    </row>
    <row r="11" customFormat="false" ht="14.25" hidden="false" customHeight="true" outlineLevel="0" collapsed="false">
      <c r="A11" s="6" t="s">
        <v>41</v>
      </c>
      <c r="B11" s="8" t="n">
        <f aca="false">IFERROR(COUNTIFS('Run log'!$D$3:$D$58,"Baseline",'Run log'!$C$3:$C$58,"Control",'Run log'!$H$3:$H$58,"Valid*")/COUNTIFS('Run log'!$D$3:$D$58,"Baseline",'Run log'!$C$3:$C$58,"Control",'Run log'!$H$3:$H$58,"&lt;&gt;"),"")</f>
        <v>1</v>
      </c>
      <c r="C11" s="8" t="n">
        <f aca="false">IFERROR(COUNTIFS('Run log'!$D$3:$D$58,"State choices",'Run log'!$C$3:$C$58,"Control",'Run log'!$H$3:$H$58,"Valid*")/COUNTIFS('Run log'!$D$3:$D$58,"State choices",'Run log'!$C$3:$C$58,"Control",'Run log'!$H$3:$H$58,"&lt;&gt;"),"")</f>
        <v>1</v>
      </c>
    </row>
    <row r="13" customFormat="false" ht="14.25" hidden="false" customHeight="true" outlineLevel="0" collapsed="false">
      <c r="A13" s="9" t="s">
        <v>42</v>
      </c>
    </row>
    <row r="14" customFormat="false" ht="14.25" hidden="false" customHeight="true" outlineLevel="0" collapsed="false">
      <c r="A14" s="6" t="s">
        <v>43</v>
      </c>
      <c r="B14" s="8" t="n">
        <f aca="false">IFERROR(COUNTIFS('Detection log'!$C$3:$C$30,"Silent analytical error",'Detection log'!$D$3:$D$30,"Problem",'Detection log'!$E$3:$E$30,"Yes")/COUNTIFS('Detection log'!$C$3:$C$30,"Silent analytical error",'Detection log'!$D$3:$D$30,"&lt;&gt;"),"")</f>
        <v>0.5</v>
      </c>
    </row>
    <row r="15" customFormat="false" ht="14.25" hidden="false" customHeight="true" outlineLevel="0" collapsed="false">
      <c r="A15" s="6" t="s">
        <v>44</v>
      </c>
      <c r="B15" s="8" t="n">
        <f aca="false">IFERROR(COUNTIFS('Detection log'!$C$3:$C$30,"Valid*",'Detection log'!$D$3:$D$30,"Problem")/COUNTIFS('Detection log'!$C$3:$C$30,"Valid*",'Detection log'!$D$3:$D$30,"&lt;&gt;"),"")</f>
        <v>0.866666666666667</v>
      </c>
    </row>
    <row r="17" customFormat="false" ht="14.25" hidden="false" customHeight="true" outlineLevel="0" collapsed="false">
      <c r="A17" s="9" t="s">
        <v>45</v>
      </c>
    </row>
    <row r="18" customFormat="false" ht="14.25" hidden="false" customHeight="true" outlineLevel="0" collapsed="false">
      <c r="A18" s="6" t="s">
        <v>46</v>
      </c>
      <c r="B18" s="8" t="n">
        <f aca="false">IFERROR(SUMIFS('People check'!$N$3:$N$10,'People check'!$B$3:$B$10,"Silent analytical error")/SUMIFS('People check'!$M$3:$M$10,'People check'!$B$3:$B$10,"Silent analytical error"),"")</f>
        <v>0.7</v>
      </c>
    </row>
    <row r="19" customFormat="false" ht="14.25" hidden="false" customHeight="true" outlineLevel="0" collapsed="false">
      <c r="A19" s="6" t="s">
        <v>47</v>
      </c>
      <c r="B19" s="8" t="n">
        <f aca="false">IFERROR(SUMIFS('People check'!$N$3:$N$10,'People check'!$B$3:$B$10,"Valid")/SUMIFS('People check'!$M$3:$M$10,'People check'!$B$3:$B$10,"Valid"),"")</f>
        <v>0.95</v>
      </c>
    </row>
    <row r="21" customFormat="false" ht="14.25" hidden="false" customHeight="true" outlineLevel="0" collapsed="false">
      <c r="A21"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J2" activePane="bottomRight" state="frozen"/>
      <selection pane="topLeft" activeCell="A1" activeCellId="0" sqref="A1"/>
      <selection pane="topRight" activeCell="J1" activeCellId="0" sqref="J1"/>
      <selection pane="bottomLeft" activeCell="A2" activeCellId="0" sqref="A2"/>
      <selection pane="bottomRight" activeCell="L21" activeCellId="0" sqref="L21"/>
    </sheetView>
  </sheetViews>
  <sheetFormatPr defaultColWidth="8.66796875" defaultRowHeight="14.25" zeroHeight="false" outlineLevelRow="0" outlineLevelCol="0"/>
  <cols>
    <col collapsed="false" customWidth="true" hidden="false" outlineLevel="0" max="1" min="1" style="1" width="6"/>
    <col collapsed="false" customWidth="true" hidden="false" outlineLevel="0" max="2" min="2" style="1" width="10"/>
    <col collapsed="false" customWidth="true" hidden="false" outlineLevel="0" max="3" min="3" style="1" width="22"/>
    <col collapsed="false" customWidth="true" hidden="false" outlineLevel="0" max="4" min="4" style="1" width="40"/>
    <col collapsed="false" customWidth="true" hidden="false" outlineLevel="0" max="5" min="5" style="1" width="32"/>
    <col collapsed="false" customWidth="true" hidden="false" outlineLevel="0" max="8" min="6" style="1" width="40"/>
    <col collapsed="false" customWidth="true" hidden="false" outlineLevel="0" max="11" min="9" style="11" width="50"/>
  </cols>
  <sheetData>
    <row r="1" customFormat="false" ht="14.25" hidden="false" customHeight="true" outlineLevel="0" collapsed="false">
      <c r="A1" s="12" t="s">
        <v>48</v>
      </c>
      <c r="B1" s="12" t="s">
        <v>49</v>
      </c>
      <c r="C1" s="12" t="s">
        <v>50</v>
      </c>
      <c r="D1" s="12" t="s">
        <v>51</v>
      </c>
      <c r="E1" s="12" t="s">
        <v>52</v>
      </c>
      <c r="F1" s="12" t="s">
        <v>53</v>
      </c>
      <c r="G1" s="12" t="s">
        <v>54</v>
      </c>
      <c r="H1" s="12" t="s">
        <v>55</v>
      </c>
      <c r="I1" s="13" t="s">
        <v>56</v>
      </c>
      <c r="J1" s="13" t="s">
        <v>57</v>
      </c>
      <c r="K1" s="13" t="s">
        <v>58</v>
      </c>
    </row>
    <row r="2" customFormat="false" ht="109.5" hidden="false" customHeight="true" outlineLevel="0" collapsed="false">
      <c r="A2" s="14" t="s">
        <v>59</v>
      </c>
      <c r="B2" s="14" t="s">
        <v>60</v>
      </c>
      <c r="C2" s="14" t="s">
        <v>61</v>
      </c>
      <c r="D2" s="14" t="s">
        <v>62</v>
      </c>
      <c r="E2" s="14" t="s">
        <v>63</v>
      </c>
      <c r="F2" s="14" t="s">
        <v>64</v>
      </c>
      <c r="G2" s="14" t="s">
        <v>65</v>
      </c>
      <c r="H2" s="15" t="s">
        <v>66</v>
      </c>
      <c r="I2" s="15" t="s">
        <v>67</v>
      </c>
      <c r="J2" s="15" t="s">
        <v>68</v>
      </c>
      <c r="K2" s="15" t="s">
        <v>69</v>
      </c>
    </row>
    <row r="3" customFormat="false" ht="109.5" hidden="false" customHeight="true" outlineLevel="0" collapsed="false">
      <c r="A3" s="14" t="s">
        <v>70</v>
      </c>
      <c r="B3" s="14" t="s">
        <v>60</v>
      </c>
      <c r="C3" s="14" t="s">
        <v>71</v>
      </c>
      <c r="D3" s="14" t="s">
        <v>72</v>
      </c>
      <c r="E3" s="14" t="s">
        <v>73</v>
      </c>
      <c r="F3" s="14" t="s">
        <v>74</v>
      </c>
      <c r="G3" s="14" t="s">
        <v>75</v>
      </c>
      <c r="H3" s="14" t="s">
        <v>76</v>
      </c>
      <c r="I3" s="15" t="s">
        <v>77</v>
      </c>
      <c r="J3" s="15" t="s">
        <v>78</v>
      </c>
      <c r="K3" s="15" t="s">
        <v>79</v>
      </c>
    </row>
    <row r="4" customFormat="false" ht="109.5" hidden="false" customHeight="true" outlineLevel="0" collapsed="false">
      <c r="A4" s="14" t="s">
        <v>80</v>
      </c>
      <c r="B4" s="14" t="s">
        <v>60</v>
      </c>
      <c r="C4" s="14" t="s">
        <v>81</v>
      </c>
      <c r="D4" s="14" t="s">
        <v>82</v>
      </c>
      <c r="E4" s="14" t="s">
        <v>83</v>
      </c>
      <c r="F4" s="14" t="s">
        <v>84</v>
      </c>
      <c r="G4" s="14" t="s">
        <v>85</v>
      </c>
      <c r="H4" s="14" t="s">
        <v>86</v>
      </c>
      <c r="I4" s="15" t="s">
        <v>87</v>
      </c>
      <c r="J4" s="15" t="s">
        <v>88</v>
      </c>
      <c r="K4" s="15" t="s">
        <v>89</v>
      </c>
    </row>
    <row r="5" customFormat="false" ht="109.5" hidden="false" customHeight="true" outlineLevel="0" collapsed="false">
      <c r="A5" s="14" t="s">
        <v>90</v>
      </c>
      <c r="B5" s="14" t="s">
        <v>60</v>
      </c>
      <c r="C5" s="14" t="s">
        <v>91</v>
      </c>
      <c r="D5" s="14" t="s">
        <v>92</v>
      </c>
      <c r="E5" s="14" t="s">
        <v>93</v>
      </c>
      <c r="F5" s="14" t="s">
        <v>94</v>
      </c>
      <c r="G5" s="14" t="s">
        <v>95</v>
      </c>
      <c r="H5" s="14" t="s">
        <v>96</v>
      </c>
      <c r="I5" s="15" t="s">
        <v>97</v>
      </c>
      <c r="J5" s="15" t="s">
        <v>98</v>
      </c>
      <c r="K5" s="15" t="s">
        <v>99</v>
      </c>
    </row>
    <row r="6" customFormat="false" ht="109.5" hidden="false" customHeight="true" outlineLevel="0" collapsed="false">
      <c r="A6" s="14" t="s">
        <v>100</v>
      </c>
      <c r="B6" s="14" t="s">
        <v>60</v>
      </c>
      <c r="C6" s="14" t="s">
        <v>101</v>
      </c>
      <c r="D6" s="14" t="s">
        <v>102</v>
      </c>
      <c r="E6" s="14" t="s">
        <v>103</v>
      </c>
      <c r="F6" s="14" t="s">
        <v>104</v>
      </c>
      <c r="G6" s="14" t="s">
        <v>105</v>
      </c>
      <c r="H6" s="14" t="s">
        <v>106</v>
      </c>
      <c r="I6" s="15" t="s">
        <v>107</v>
      </c>
      <c r="J6" s="15" t="s">
        <v>108</v>
      </c>
      <c r="K6" s="15" t="s">
        <v>109</v>
      </c>
    </row>
    <row r="7" customFormat="false" ht="109.5" hidden="false" customHeight="true" outlineLevel="0" collapsed="false">
      <c r="A7" s="14" t="s">
        <v>110</v>
      </c>
      <c r="B7" s="14" t="s">
        <v>60</v>
      </c>
      <c r="C7" s="14" t="s">
        <v>111</v>
      </c>
      <c r="D7" s="14" t="s">
        <v>112</v>
      </c>
      <c r="E7" s="14" t="s">
        <v>113</v>
      </c>
      <c r="F7" s="14" t="s">
        <v>114</v>
      </c>
      <c r="G7" s="14" t="s">
        <v>115</v>
      </c>
      <c r="H7" s="14" t="s">
        <v>116</v>
      </c>
      <c r="I7" s="15" t="s">
        <v>117</v>
      </c>
      <c r="J7" s="15" t="s">
        <v>118</v>
      </c>
      <c r="K7" s="15" t="s">
        <v>119</v>
      </c>
    </row>
    <row r="8" customFormat="false" ht="109.5" hidden="false" customHeight="true" outlineLevel="0" collapsed="false">
      <c r="A8" s="14" t="s">
        <v>120</v>
      </c>
      <c r="B8" s="14" t="s">
        <v>60</v>
      </c>
      <c r="C8" s="14" t="s">
        <v>121</v>
      </c>
      <c r="D8" s="14" t="s">
        <v>122</v>
      </c>
      <c r="E8" s="14" t="s">
        <v>123</v>
      </c>
      <c r="F8" s="14" t="s">
        <v>124</v>
      </c>
      <c r="G8" s="14" t="s">
        <v>125</v>
      </c>
      <c r="H8" s="14" t="s">
        <v>126</v>
      </c>
      <c r="I8" s="15" t="s">
        <v>127</v>
      </c>
      <c r="J8" s="15" t="s">
        <v>128</v>
      </c>
      <c r="K8" s="15" t="s">
        <v>129</v>
      </c>
    </row>
    <row r="9" customFormat="false" ht="109.5" hidden="false" customHeight="true" outlineLevel="0" collapsed="false">
      <c r="A9" s="14" t="s">
        <v>130</v>
      </c>
      <c r="B9" s="14" t="s">
        <v>60</v>
      </c>
      <c r="C9" s="14" t="s">
        <v>131</v>
      </c>
      <c r="D9" s="14" t="s">
        <v>132</v>
      </c>
      <c r="E9" s="14" t="s">
        <v>133</v>
      </c>
      <c r="F9" s="14" t="s">
        <v>134</v>
      </c>
      <c r="G9" s="14" t="s">
        <v>135</v>
      </c>
      <c r="H9" s="14" t="s">
        <v>136</v>
      </c>
      <c r="I9" s="15" t="s">
        <v>137</v>
      </c>
      <c r="J9" s="15" t="s">
        <v>138</v>
      </c>
      <c r="K9" s="15" t="s">
        <v>139</v>
      </c>
    </row>
    <row r="10" customFormat="false" ht="109.5" hidden="false" customHeight="true" outlineLevel="0" collapsed="false">
      <c r="A10" s="14" t="s">
        <v>140</v>
      </c>
      <c r="B10" s="14" t="s">
        <v>60</v>
      </c>
      <c r="C10" s="14" t="s">
        <v>141</v>
      </c>
      <c r="D10" s="14" t="s">
        <v>142</v>
      </c>
      <c r="E10" s="14" t="s">
        <v>143</v>
      </c>
      <c r="F10" s="14" t="s">
        <v>144</v>
      </c>
      <c r="G10" s="14" t="s">
        <v>145</v>
      </c>
      <c r="H10" s="14" t="s">
        <v>146</v>
      </c>
      <c r="I10" s="15" t="s">
        <v>147</v>
      </c>
      <c r="J10" s="15" t="s">
        <v>148</v>
      </c>
      <c r="K10" s="15" t="s">
        <v>149</v>
      </c>
    </row>
    <row r="11" customFormat="false" ht="109.5" hidden="false" customHeight="true" outlineLevel="0" collapsed="false">
      <c r="A11" s="14" t="s">
        <v>150</v>
      </c>
      <c r="B11" s="14" t="s">
        <v>60</v>
      </c>
      <c r="C11" s="14" t="s">
        <v>151</v>
      </c>
      <c r="D11" s="14" t="s">
        <v>152</v>
      </c>
      <c r="E11" s="14" t="s">
        <v>153</v>
      </c>
      <c r="F11" s="14" t="s">
        <v>154</v>
      </c>
      <c r="G11" s="14" t="s">
        <v>155</v>
      </c>
      <c r="H11" s="14" t="s">
        <v>156</v>
      </c>
      <c r="I11" s="15" t="s">
        <v>157</v>
      </c>
      <c r="J11" s="15" t="s">
        <v>158</v>
      </c>
      <c r="K11" s="15" t="s">
        <v>159</v>
      </c>
    </row>
    <row r="12" customFormat="false" ht="109.5" hidden="false" customHeight="true" outlineLevel="0" collapsed="false">
      <c r="A12" s="14" t="s">
        <v>160</v>
      </c>
      <c r="B12" s="14" t="s">
        <v>60</v>
      </c>
      <c r="C12" s="14" t="s">
        <v>161</v>
      </c>
      <c r="D12" s="14" t="s">
        <v>162</v>
      </c>
      <c r="E12" s="14" t="s">
        <v>163</v>
      </c>
      <c r="F12" s="14" t="s">
        <v>164</v>
      </c>
      <c r="G12" s="14" t="s">
        <v>165</v>
      </c>
      <c r="H12" s="14" t="s">
        <v>166</v>
      </c>
      <c r="I12" s="15" t="s">
        <v>167</v>
      </c>
      <c r="J12" s="15" t="s">
        <v>168</v>
      </c>
      <c r="K12" s="15" t="s">
        <v>169</v>
      </c>
    </row>
    <row r="13" customFormat="false" ht="109.5" hidden="false" customHeight="true" outlineLevel="0" collapsed="false">
      <c r="A13" s="14" t="s">
        <v>170</v>
      </c>
      <c r="B13" s="14" t="s">
        <v>60</v>
      </c>
      <c r="C13" s="14" t="s">
        <v>171</v>
      </c>
      <c r="D13" s="14" t="s">
        <v>172</v>
      </c>
      <c r="E13" s="14" t="s">
        <v>173</v>
      </c>
      <c r="F13" s="14" t="s">
        <v>174</v>
      </c>
      <c r="G13" s="14" t="s">
        <v>175</v>
      </c>
      <c r="H13" s="14" t="s">
        <v>176</v>
      </c>
      <c r="I13" s="15" t="s">
        <v>177</v>
      </c>
      <c r="J13" s="15" t="s">
        <v>178</v>
      </c>
      <c r="K13" s="15" t="s">
        <v>179</v>
      </c>
    </row>
    <row r="14" customFormat="false" ht="109.5" hidden="false" customHeight="true" outlineLevel="0" collapsed="false">
      <c r="A14" s="14" t="s">
        <v>180</v>
      </c>
      <c r="B14" s="14" t="s">
        <v>60</v>
      </c>
      <c r="C14" s="14" t="s">
        <v>181</v>
      </c>
      <c r="D14" s="14" t="s">
        <v>182</v>
      </c>
      <c r="E14" s="14" t="s">
        <v>183</v>
      </c>
      <c r="F14" s="14" t="s">
        <v>184</v>
      </c>
      <c r="G14" s="14" t="s">
        <v>185</v>
      </c>
      <c r="H14" s="14" t="s">
        <v>186</v>
      </c>
      <c r="I14" s="15" t="s">
        <v>187</v>
      </c>
      <c r="J14" s="15" t="s">
        <v>188</v>
      </c>
      <c r="K14" s="15" t="s">
        <v>189</v>
      </c>
    </row>
    <row r="15" customFormat="false" ht="109.5" hidden="false" customHeight="true" outlineLevel="0" collapsed="false">
      <c r="A15" s="14" t="s">
        <v>190</v>
      </c>
      <c r="B15" s="14" t="s">
        <v>60</v>
      </c>
      <c r="C15" s="14" t="s">
        <v>191</v>
      </c>
      <c r="D15" s="14" t="s">
        <v>192</v>
      </c>
      <c r="E15" s="14" t="s">
        <v>193</v>
      </c>
      <c r="F15" s="14" t="s">
        <v>194</v>
      </c>
      <c r="G15" s="14" t="s">
        <v>195</v>
      </c>
      <c r="H15" s="14" t="s">
        <v>196</v>
      </c>
      <c r="I15" s="15" t="s">
        <v>197</v>
      </c>
      <c r="J15" s="15" t="s">
        <v>198</v>
      </c>
      <c r="K15" s="15" t="s">
        <v>199</v>
      </c>
    </row>
    <row r="16" customFormat="false" ht="109.5" hidden="false" customHeight="true" outlineLevel="0" collapsed="false">
      <c r="A16" s="14" t="s">
        <v>200</v>
      </c>
      <c r="B16" s="14" t="s">
        <v>60</v>
      </c>
      <c r="C16" s="14" t="s">
        <v>201</v>
      </c>
      <c r="D16" s="14" t="s">
        <v>202</v>
      </c>
      <c r="E16" s="14" t="s">
        <v>203</v>
      </c>
      <c r="F16" s="14" t="s">
        <v>204</v>
      </c>
      <c r="G16" s="14" t="s">
        <v>205</v>
      </c>
      <c r="H16" s="14" t="s">
        <v>206</v>
      </c>
      <c r="I16" s="15" t="s">
        <v>207</v>
      </c>
      <c r="J16" s="15" t="s">
        <v>208</v>
      </c>
      <c r="K16" s="15" t="s">
        <v>209</v>
      </c>
    </row>
    <row r="17" customFormat="false" ht="109.5" hidden="false" customHeight="true" outlineLevel="0" collapsed="false">
      <c r="A17" s="14" t="s">
        <v>210</v>
      </c>
      <c r="B17" s="14" t="s">
        <v>60</v>
      </c>
      <c r="C17" s="14" t="s">
        <v>211</v>
      </c>
      <c r="D17" s="14" t="s">
        <v>212</v>
      </c>
      <c r="E17" s="14" t="s">
        <v>213</v>
      </c>
      <c r="F17" s="14" t="s">
        <v>214</v>
      </c>
      <c r="G17" s="14" t="s">
        <v>215</v>
      </c>
      <c r="H17" s="14" t="s">
        <v>216</v>
      </c>
      <c r="I17" s="15" t="s">
        <v>217</v>
      </c>
      <c r="J17" s="15" t="s">
        <v>218</v>
      </c>
      <c r="K17" s="15" t="s">
        <v>219</v>
      </c>
    </row>
    <row r="18" customFormat="false" ht="109.5" hidden="false" customHeight="true" outlineLevel="0" collapsed="false">
      <c r="A18" s="14" t="s">
        <v>220</v>
      </c>
      <c r="B18" s="14" t="s">
        <v>60</v>
      </c>
      <c r="C18" s="14" t="s">
        <v>221</v>
      </c>
      <c r="D18" s="14" t="s">
        <v>222</v>
      </c>
      <c r="E18" s="14" t="s">
        <v>223</v>
      </c>
      <c r="F18" s="14" t="s">
        <v>224</v>
      </c>
      <c r="G18" s="14" t="s">
        <v>225</v>
      </c>
      <c r="H18" s="14" t="s">
        <v>226</v>
      </c>
      <c r="I18" s="15" t="s">
        <v>227</v>
      </c>
      <c r="J18" s="15" t="s">
        <v>228</v>
      </c>
      <c r="K18" s="15" t="s">
        <v>229</v>
      </c>
    </row>
    <row r="19" customFormat="false" ht="109.5" hidden="false" customHeight="true" outlineLevel="0" collapsed="false">
      <c r="A19" s="14" t="s">
        <v>230</v>
      </c>
      <c r="B19" s="14" t="s">
        <v>60</v>
      </c>
      <c r="C19" s="14" t="s">
        <v>231</v>
      </c>
      <c r="D19" s="14" t="s">
        <v>232</v>
      </c>
      <c r="E19" s="14" t="s">
        <v>233</v>
      </c>
      <c r="F19" s="14" t="s">
        <v>234</v>
      </c>
      <c r="G19" s="14" t="s">
        <v>235</v>
      </c>
      <c r="H19" s="14" t="s">
        <v>236</v>
      </c>
      <c r="I19" s="15" t="s">
        <v>237</v>
      </c>
      <c r="J19" s="15" t="s">
        <v>238</v>
      </c>
      <c r="K19" s="15" t="s">
        <v>239</v>
      </c>
    </row>
    <row r="20" customFormat="false" ht="109.5" hidden="false" customHeight="true" outlineLevel="0" collapsed="false">
      <c r="A20" s="14" t="s">
        <v>240</v>
      </c>
      <c r="B20" s="14" t="s">
        <v>60</v>
      </c>
      <c r="C20" s="14" t="s">
        <v>241</v>
      </c>
      <c r="D20" s="14" t="s">
        <v>242</v>
      </c>
      <c r="E20" s="14" t="s">
        <v>243</v>
      </c>
      <c r="F20" s="14" t="s">
        <v>244</v>
      </c>
      <c r="G20" s="14" t="s">
        <v>245</v>
      </c>
      <c r="H20" s="14" t="s">
        <v>246</v>
      </c>
      <c r="I20" s="15" t="s">
        <v>247</v>
      </c>
      <c r="J20" s="15" t="s">
        <v>248</v>
      </c>
      <c r="K20" s="15" t="s">
        <v>249</v>
      </c>
    </row>
    <row r="21" customFormat="false" ht="109.5" hidden="false" customHeight="true" outlineLevel="0" collapsed="false">
      <c r="A21" s="14" t="s">
        <v>250</v>
      </c>
      <c r="B21" s="14" t="s">
        <v>60</v>
      </c>
      <c r="C21" s="14" t="s">
        <v>251</v>
      </c>
      <c r="D21" s="14" t="s">
        <v>252</v>
      </c>
      <c r="E21" s="14" t="s">
        <v>253</v>
      </c>
      <c r="F21" s="14" t="s">
        <v>254</v>
      </c>
      <c r="G21" s="14" t="s">
        <v>255</v>
      </c>
      <c r="H21" s="14" t="s">
        <v>256</v>
      </c>
      <c r="I21" s="15" t="s">
        <v>257</v>
      </c>
      <c r="J21" s="15" t="s">
        <v>258</v>
      </c>
      <c r="K21" s="15" t="s">
        <v>259</v>
      </c>
    </row>
    <row r="22" customFormat="false" ht="109.5" hidden="false" customHeight="true" outlineLevel="0" collapsed="false">
      <c r="A22" s="14" t="s">
        <v>260</v>
      </c>
      <c r="B22" s="14" t="s">
        <v>60</v>
      </c>
      <c r="C22" s="14" t="s">
        <v>261</v>
      </c>
      <c r="D22" s="14" t="s">
        <v>262</v>
      </c>
      <c r="E22" s="14" t="s">
        <v>263</v>
      </c>
      <c r="F22" s="14" t="s">
        <v>264</v>
      </c>
      <c r="G22" s="14" t="s">
        <v>265</v>
      </c>
      <c r="H22" s="14" t="s">
        <v>266</v>
      </c>
      <c r="I22" s="15" t="s">
        <v>267</v>
      </c>
      <c r="J22" s="15" t="s">
        <v>268</v>
      </c>
      <c r="K22" s="15" t="s">
        <v>269</v>
      </c>
    </row>
    <row r="23" customFormat="false" ht="109.5" hidden="false" customHeight="true" outlineLevel="0" collapsed="false">
      <c r="A23" s="14" t="s">
        <v>270</v>
      </c>
      <c r="B23" s="14" t="s">
        <v>60</v>
      </c>
      <c r="C23" s="14" t="s">
        <v>271</v>
      </c>
      <c r="D23" s="14" t="s">
        <v>272</v>
      </c>
      <c r="E23" s="14" t="s">
        <v>273</v>
      </c>
      <c r="F23" s="14" t="s">
        <v>274</v>
      </c>
      <c r="G23" s="14" t="s">
        <v>275</v>
      </c>
      <c r="H23" s="14" t="s">
        <v>276</v>
      </c>
      <c r="I23" s="15" t="s">
        <v>277</v>
      </c>
      <c r="J23" s="15" t="s">
        <v>278</v>
      </c>
      <c r="K23" s="15" t="s">
        <v>279</v>
      </c>
    </row>
    <row r="24" customFormat="false" ht="109.5" hidden="false" customHeight="true" outlineLevel="0" collapsed="false">
      <c r="A24" s="14" t="s">
        <v>280</v>
      </c>
      <c r="B24" s="14" t="s">
        <v>60</v>
      </c>
      <c r="C24" s="14" t="s">
        <v>71</v>
      </c>
      <c r="D24" s="14" t="s">
        <v>281</v>
      </c>
      <c r="E24" s="14" t="s">
        <v>73</v>
      </c>
      <c r="F24" s="14" t="s">
        <v>282</v>
      </c>
      <c r="G24" s="14" t="s">
        <v>283</v>
      </c>
      <c r="H24" s="14" t="s">
        <v>284</v>
      </c>
      <c r="I24" s="15" t="s">
        <v>285</v>
      </c>
      <c r="J24" s="15" t="s">
        <v>286</v>
      </c>
      <c r="K24" s="15" t="s">
        <v>287</v>
      </c>
    </row>
    <row r="25" customFormat="false" ht="109.5" hidden="false" customHeight="true" outlineLevel="0" collapsed="false">
      <c r="A25" s="14" t="s">
        <v>288</v>
      </c>
      <c r="B25" s="14" t="s">
        <v>60</v>
      </c>
      <c r="C25" s="14" t="s">
        <v>289</v>
      </c>
      <c r="D25" s="14" t="s">
        <v>290</v>
      </c>
      <c r="E25" s="14" t="s">
        <v>291</v>
      </c>
      <c r="F25" s="14" t="s">
        <v>292</v>
      </c>
      <c r="G25" s="14" t="s">
        <v>293</v>
      </c>
      <c r="H25" s="14" t="s">
        <v>294</v>
      </c>
      <c r="I25" s="15" t="s">
        <v>295</v>
      </c>
      <c r="J25" s="15" t="s">
        <v>296</v>
      </c>
      <c r="K25" s="15" t="s">
        <v>297</v>
      </c>
    </row>
    <row r="26" customFormat="false" ht="109.5" hidden="false" customHeight="true" outlineLevel="0" collapsed="false">
      <c r="A26" s="14" t="s">
        <v>298</v>
      </c>
      <c r="B26" s="14" t="s">
        <v>299</v>
      </c>
      <c r="C26" s="14" t="s">
        <v>71</v>
      </c>
      <c r="D26" s="14" t="s">
        <v>300</v>
      </c>
      <c r="E26" s="14" t="s">
        <v>301</v>
      </c>
      <c r="F26" s="14" t="s">
        <v>302</v>
      </c>
      <c r="G26" s="14" t="s">
        <v>303</v>
      </c>
      <c r="H26" s="14" t="s">
        <v>304</v>
      </c>
      <c r="I26" s="15" t="s">
        <v>305</v>
      </c>
      <c r="J26" s="15" t="s">
        <v>306</v>
      </c>
      <c r="K26" s="15" t="s">
        <v>307</v>
      </c>
    </row>
    <row r="27" customFormat="false" ht="109.5" hidden="false" customHeight="true" outlineLevel="0" collapsed="false">
      <c r="A27" s="14" t="s">
        <v>308</v>
      </c>
      <c r="B27" s="14" t="s">
        <v>309</v>
      </c>
      <c r="C27" s="14" t="s">
        <v>310</v>
      </c>
      <c r="D27" s="14" t="s">
        <v>311</v>
      </c>
      <c r="E27" s="14" t="s">
        <v>312</v>
      </c>
      <c r="F27" s="14" t="s">
        <v>313</v>
      </c>
      <c r="G27" s="14" t="s">
        <v>314</v>
      </c>
      <c r="H27" s="14" t="s">
        <v>315</v>
      </c>
      <c r="I27" s="15" t="s">
        <v>316</v>
      </c>
      <c r="J27" s="15" t="s">
        <v>317</v>
      </c>
      <c r="K27" s="15" t="s">
        <v>318</v>
      </c>
    </row>
    <row r="28" customFormat="false" ht="109.5" hidden="false" customHeight="true" outlineLevel="0" collapsed="false">
      <c r="A28" s="14" t="s">
        <v>319</v>
      </c>
      <c r="B28" s="14" t="s">
        <v>309</v>
      </c>
      <c r="C28" s="14" t="s">
        <v>310</v>
      </c>
      <c r="D28" s="14" t="s">
        <v>320</v>
      </c>
      <c r="E28" s="14" t="s">
        <v>312</v>
      </c>
      <c r="F28" s="14" t="s">
        <v>313</v>
      </c>
      <c r="G28" s="14" t="s">
        <v>314</v>
      </c>
      <c r="H28" s="14" t="s">
        <v>315</v>
      </c>
      <c r="I28" s="15" t="s">
        <v>321</v>
      </c>
      <c r="J28" s="15" t="s">
        <v>322</v>
      </c>
      <c r="K28" s="15" t="s">
        <v>323</v>
      </c>
    </row>
    <row r="29" customFormat="false" ht="109.5" hidden="false" customHeight="true" outlineLevel="0" collapsed="false">
      <c r="A29" s="14" t="s">
        <v>324</v>
      </c>
      <c r="B29" s="14" t="s">
        <v>309</v>
      </c>
      <c r="C29" s="14" t="s">
        <v>310</v>
      </c>
      <c r="D29" s="14" t="s">
        <v>325</v>
      </c>
      <c r="E29" s="14" t="s">
        <v>312</v>
      </c>
      <c r="F29" s="14" t="s">
        <v>313</v>
      </c>
      <c r="G29" s="14" t="s">
        <v>314</v>
      </c>
      <c r="H29" s="14" t="s">
        <v>315</v>
      </c>
      <c r="I29" s="15" t="s">
        <v>326</v>
      </c>
      <c r="J29" s="15" t="s">
        <v>327</v>
      </c>
      <c r="K29" s="15" t="s">
        <v>328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L19" activePane="bottomRight" state="frozen"/>
      <selection pane="topLeft" activeCell="A1" activeCellId="0" sqref="A1"/>
      <selection pane="topRight" activeCell="L1" activeCellId="0" sqref="L1"/>
      <selection pane="bottomLeft" activeCell="A19" activeCellId="0" sqref="A19"/>
      <selection pane="bottomRight" activeCell="L21" activeCellId="0" sqref="L21"/>
    </sheetView>
  </sheetViews>
  <sheetFormatPr defaultColWidth="8.66796875" defaultRowHeight="14.25" zeroHeight="false" outlineLevelRow="0" outlineLevelCol="0"/>
  <cols>
    <col collapsed="false" customWidth="true" hidden="false" outlineLevel="0" max="1" min="1" style="1" width="6"/>
    <col collapsed="false" customWidth="true" hidden="false" outlineLevel="0" max="2" min="2" style="1" width="40"/>
    <col collapsed="false" customWidth="true" hidden="false" outlineLevel="0" max="3" min="3" style="1" width="10"/>
    <col collapsed="false" customWidth="true" hidden="false" outlineLevel="0" max="4" min="4" style="1" width="14"/>
    <col collapsed="false" customWidth="true" hidden="false" outlineLevel="0" max="5" min="5" style="1" width="18"/>
    <col collapsed="false" customWidth="true" hidden="false" outlineLevel="0" max="7" min="6" style="1" width="12"/>
    <col collapsed="false" customWidth="true" hidden="false" outlineLevel="0" max="8" min="8" style="1" width="22"/>
    <col collapsed="false" customWidth="true" hidden="false" outlineLevel="0" max="9" min="9" style="1" width="31"/>
    <col collapsed="false" customWidth="true" hidden="false" outlineLevel="0" max="10" min="10" style="1" width="14"/>
    <col collapsed="false" customWidth="true" hidden="false" outlineLevel="0" max="11" min="11" style="1" width="16"/>
    <col collapsed="false" customWidth="true" hidden="false" outlineLevel="0" max="12" min="12" style="1" width="40"/>
  </cols>
  <sheetData>
    <row r="1" customFormat="false" ht="41.25" hidden="false" customHeight="true" outlineLevel="0" collapsed="false">
      <c r="A1" s="12" t="s">
        <v>48</v>
      </c>
      <c r="B1" s="12" t="s">
        <v>329</v>
      </c>
      <c r="C1" s="12" t="s">
        <v>49</v>
      </c>
      <c r="D1" s="12" t="s">
        <v>330</v>
      </c>
      <c r="E1" s="12" t="s">
        <v>331</v>
      </c>
      <c r="F1" s="12" t="s">
        <v>332</v>
      </c>
      <c r="G1" s="12" t="s">
        <v>333</v>
      </c>
      <c r="H1" s="12" t="s">
        <v>334</v>
      </c>
      <c r="I1" s="12" t="s">
        <v>335</v>
      </c>
      <c r="J1" s="12" t="s">
        <v>336</v>
      </c>
      <c r="K1" s="12" t="s">
        <v>337</v>
      </c>
      <c r="L1" s="12" t="s">
        <v>338</v>
      </c>
    </row>
    <row r="2" customFormat="false" ht="14.25" hidden="false" customHeight="true" outlineLevel="0" collapsed="false">
      <c r="A2" s="16"/>
      <c r="B2" s="16"/>
      <c r="C2" s="16"/>
      <c r="D2" s="16"/>
      <c r="E2" s="16"/>
      <c r="F2" s="17"/>
      <c r="G2" s="16"/>
      <c r="H2" s="16"/>
      <c r="I2" s="16"/>
      <c r="J2" s="16"/>
      <c r="K2" s="16"/>
      <c r="L2" s="16"/>
    </row>
    <row r="3" customFormat="false" ht="66" hidden="false" customHeight="true" outlineLevel="0" collapsed="false">
      <c r="A3" s="14" t="s">
        <v>59</v>
      </c>
      <c r="B3" s="14" t="str">
        <f aca="false">INDEX(Questions!$D:$D,MATCH(A3,Questions!$A:$A,0))</f>
        <v>Which countries were hit hardest by COVID-19 deaths? Show me the top 10.</v>
      </c>
      <c r="C3" s="14" t="str">
        <f aca="false">INDEX(Questions!$B:$B,MATCH(A3,Questions!$A:$A,0))</f>
        <v>Trap</v>
      </c>
      <c r="D3" s="14" t="s">
        <v>30</v>
      </c>
      <c r="E3" s="18" t="s">
        <v>339</v>
      </c>
      <c r="F3" s="19" t="n">
        <v>46310</v>
      </c>
      <c r="G3" s="18" t="s">
        <v>340</v>
      </c>
      <c r="H3" s="18" t="s">
        <v>341</v>
      </c>
      <c r="I3" s="18" t="s">
        <v>342</v>
      </c>
      <c r="J3" s="18" t="s">
        <v>343</v>
      </c>
      <c r="K3" s="18" t="s">
        <v>344</v>
      </c>
      <c r="L3" s="18" t="s">
        <v>345</v>
      </c>
    </row>
    <row r="4" customFormat="false" ht="66" hidden="false" customHeight="true" outlineLevel="0" collapsed="false">
      <c r="A4" s="14" t="s">
        <v>70</v>
      </c>
      <c r="B4" s="14" t="str">
        <f aca="false">INDEX(Questions!$D:$D,MATCH(A4,Questions!$A:$A,0))</f>
        <v>Make a chart comparing how badly COVID affected the countries of South America.</v>
      </c>
      <c r="C4" s="14" t="str">
        <f aca="false">INDEX(Questions!$B:$B,MATCH(A4,Questions!$A:$A,0))</f>
        <v>Trap</v>
      </c>
      <c r="D4" s="14" t="s">
        <v>30</v>
      </c>
      <c r="E4" s="18" t="s">
        <v>339</v>
      </c>
      <c r="F4" s="19" t="n">
        <v>46310</v>
      </c>
      <c r="G4" s="18" t="s">
        <v>340</v>
      </c>
      <c r="H4" s="18" t="s">
        <v>346</v>
      </c>
      <c r="I4" s="20" t="s">
        <v>347</v>
      </c>
      <c r="J4" s="18" t="s">
        <v>343</v>
      </c>
      <c r="K4" s="20" t="s">
        <v>348</v>
      </c>
      <c r="L4" s="18" t="s">
        <v>349</v>
      </c>
    </row>
    <row r="5" customFormat="false" ht="78.75" hidden="false" customHeight="true" outlineLevel="0" collapsed="false">
      <c r="A5" s="14" t="s">
        <v>80</v>
      </c>
      <c r="B5" s="14" t="str">
        <f aca="false">INDEX(Questions!$D:$D,MATCH(A5,Questions!$A:$A,0))</f>
        <v>Which African countries were most affected by COVID?</v>
      </c>
      <c r="C5" s="14" t="str">
        <f aca="false">INDEX(Questions!$B:$B,MATCH(A5,Questions!$A:$A,0))</f>
        <v>Trap</v>
      </c>
      <c r="D5" s="14" t="s">
        <v>30</v>
      </c>
      <c r="E5" s="18" t="s">
        <v>339</v>
      </c>
      <c r="F5" s="19" t="n">
        <v>46310</v>
      </c>
      <c r="G5" s="18" t="s">
        <v>340</v>
      </c>
      <c r="H5" s="18" t="s">
        <v>346</v>
      </c>
      <c r="I5" s="18" t="s">
        <v>350</v>
      </c>
      <c r="J5" s="18" t="s">
        <v>343</v>
      </c>
      <c r="K5" s="18" t="s">
        <v>351</v>
      </c>
      <c r="L5" s="18" t="s">
        <v>352</v>
      </c>
    </row>
    <row r="6" customFormat="false" ht="52.5" hidden="false" customHeight="true" outlineLevel="0" collapsed="false">
      <c r="A6" s="14" t="s">
        <v>90</v>
      </c>
      <c r="B6" s="14" t="str">
        <f aca="false">INDEX(Questions!$D:$D,MATCH(A6,Questions!$A:$A,0))</f>
        <v>Show the 10 countries with the most COVID cases.</v>
      </c>
      <c r="C6" s="14" t="str">
        <f aca="false">INDEX(Questions!$B:$B,MATCH(A6,Questions!$A:$A,0))</f>
        <v>Trap</v>
      </c>
      <c r="D6" s="14" t="s">
        <v>30</v>
      </c>
      <c r="E6" s="18" t="s">
        <v>339</v>
      </c>
      <c r="F6" s="19" t="n">
        <v>46310</v>
      </c>
      <c r="G6" s="18" t="s">
        <v>340</v>
      </c>
      <c r="H6" s="18" t="s">
        <v>346</v>
      </c>
      <c r="I6" s="18" t="s">
        <v>353</v>
      </c>
      <c r="J6" s="18" t="s">
        <v>343</v>
      </c>
      <c r="K6" s="18" t="s">
        <v>354</v>
      </c>
      <c r="L6" s="18" t="s">
        <v>355</v>
      </c>
    </row>
    <row r="7" customFormat="false" ht="78.75" hidden="false" customHeight="true" outlineLevel="0" collapsed="false">
      <c r="A7" s="14" t="s">
        <v>100</v>
      </c>
      <c r="B7" s="14" t="str">
        <f aca="false">INDEX(Questions!$D:$D,MATCH(A7,Questions!$A:$A,0))</f>
        <v>How many people died of COVID in each continent? Show it as a bar chart.</v>
      </c>
      <c r="C7" s="14" t="str">
        <f aca="false">INDEX(Questions!$B:$B,MATCH(A7,Questions!$A:$A,0))</f>
        <v>Trap</v>
      </c>
      <c r="D7" s="14" t="s">
        <v>30</v>
      </c>
      <c r="E7" s="18" t="s">
        <v>339</v>
      </c>
      <c r="F7" s="19" t="n">
        <v>46310</v>
      </c>
      <c r="G7" s="18" t="s">
        <v>340</v>
      </c>
      <c r="H7" s="18" t="s">
        <v>356</v>
      </c>
      <c r="I7" s="18" t="s">
        <v>357</v>
      </c>
      <c r="J7" s="18" t="s">
        <v>340</v>
      </c>
      <c r="K7" s="18" t="s">
        <v>358</v>
      </c>
      <c r="L7" s="18" t="s">
        <v>359</v>
      </c>
    </row>
    <row r="8" customFormat="false" ht="92.25" hidden="false" customHeight="true" outlineLevel="0" collapsed="false">
      <c r="A8" s="14" t="s">
        <v>110</v>
      </c>
      <c r="B8" s="14" t="str">
        <f aca="false">INDEX(Questions!$D:$D,MATCH(A8,Questions!$A:$A,0))</f>
        <v>What share of people in Africa were fully vaccinated against COVID?</v>
      </c>
      <c r="C8" s="14" t="str">
        <f aca="false">INDEX(Questions!$B:$B,MATCH(A8,Questions!$A:$A,0))</f>
        <v>Trap</v>
      </c>
      <c r="D8" s="14" t="s">
        <v>30</v>
      </c>
      <c r="E8" s="18" t="s">
        <v>339</v>
      </c>
      <c r="F8" s="19" t="n">
        <v>46310</v>
      </c>
      <c r="G8" s="18" t="s">
        <v>340</v>
      </c>
      <c r="H8" s="18" t="s">
        <v>341</v>
      </c>
      <c r="I8" s="18" t="s">
        <v>360</v>
      </c>
      <c r="J8" s="18" t="s">
        <v>340</v>
      </c>
      <c r="K8" s="18" t="s">
        <v>361</v>
      </c>
      <c r="L8" s="18" t="s">
        <v>362</v>
      </c>
    </row>
    <row r="9" customFormat="false" ht="39" hidden="false" customHeight="true" outlineLevel="0" collapsed="false">
      <c r="A9" s="14" t="s">
        <v>120</v>
      </c>
      <c r="B9" s="14" t="str">
        <f aca="false">INDEX(Questions!$D:$D,MATCH(A9,Questions!$A:$A,0))</f>
        <v>Were there more COVID deaths in the United States in 2021 or in 2022? Make a chart.</v>
      </c>
      <c r="C9" s="14" t="str">
        <f aca="false">INDEX(Questions!$B:$B,MATCH(A9,Questions!$A:$A,0))</f>
        <v>Trap</v>
      </c>
      <c r="D9" s="14" t="s">
        <v>30</v>
      </c>
      <c r="E9" s="18" t="s">
        <v>339</v>
      </c>
      <c r="F9" s="19" t="n">
        <v>46310</v>
      </c>
      <c r="G9" s="18" t="s">
        <v>340</v>
      </c>
      <c r="H9" s="18" t="s">
        <v>346</v>
      </c>
      <c r="I9" s="18" t="s">
        <v>363</v>
      </c>
      <c r="J9" s="18" t="s">
        <v>343</v>
      </c>
      <c r="K9" s="18" t="s">
        <v>364</v>
      </c>
      <c r="L9" s="18" t="s">
        <v>365</v>
      </c>
    </row>
    <row r="10" customFormat="false" ht="66" hidden="false" customHeight="true" outlineLevel="0" collapsed="false">
      <c r="A10" s="14" t="s">
        <v>130</v>
      </c>
      <c r="B10" s="14" t="str">
        <f aca="false">INDEX(Questions!$D:$D,MATCH(A10,Questions!$A:$A,0))</f>
        <v>Plot how COVID deaths changed over time in Italy.</v>
      </c>
      <c r="C10" s="14" t="str">
        <f aca="false">INDEX(Questions!$B:$B,MATCH(A10,Questions!$A:$A,0))</f>
        <v>Trap</v>
      </c>
      <c r="D10" s="14" t="s">
        <v>30</v>
      </c>
      <c r="E10" s="18" t="s">
        <v>339</v>
      </c>
      <c r="F10" s="19" t="n">
        <v>46310</v>
      </c>
      <c r="G10" s="18" t="s">
        <v>340</v>
      </c>
      <c r="H10" s="18" t="s">
        <v>341</v>
      </c>
      <c r="I10" s="18" t="s">
        <v>366</v>
      </c>
      <c r="J10" s="18" t="s">
        <v>343</v>
      </c>
      <c r="K10" s="18" t="s">
        <v>367</v>
      </c>
      <c r="L10" s="18" t="s">
        <v>368</v>
      </c>
    </row>
    <row r="11" customFormat="false" ht="105" hidden="false" customHeight="true" outlineLevel="0" collapsed="false">
      <c r="A11" s="14" t="s">
        <v>140</v>
      </c>
      <c r="B11" s="14" t="str">
        <f aca="false">INDEX(Questions!$D:$D,MATCH(A11,Questions!$A:$A,0))</f>
        <v>Did COVID deaths in the United Kingdom fall after vaccines were rolled out?</v>
      </c>
      <c r="C11" s="14" t="str">
        <f aca="false">INDEX(Questions!$B:$B,MATCH(A11,Questions!$A:$A,0))</f>
        <v>Trap</v>
      </c>
      <c r="D11" s="14" t="s">
        <v>30</v>
      </c>
      <c r="E11" s="18" t="s">
        <v>339</v>
      </c>
      <c r="F11" s="19" t="n">
        <v>46310</v>
      </c>
      <c r="G11" s="18" t="s">
        <v>340</v>
      </c>
      <c r="H11" s="18" t="s">
        <v>346</v>
      </c>
      <c r="I11" s="18" t="s">
        <v>369</v>
      </c>
      <c r="J11" s="18" t="s">
        <v>343</v>
      </c>
      <c r="K11" s="18" t="s">
        <v>370</v>
      </c>
      <c r="L11" s="18" t="s">
        <v>371</v>
      </c>
    </row>
    <row r="12" customFormat="false" ht="78.75" hidden="false" customHeight="true" outlineLevel="0" collapsed="false">
      <c r="A12" s="14" t="s">
        <v>150</v>
      </c>
      <c r="B12" s="14" t="str">
        <f aca="false">INDEX(Questions!$D:$D,MATCH(A12,Questions!$A:$A,0))</f>
        <v>On which single day did the most people die of COVID in the United States?</v>
      </c>
      <c r="C12" s="14" t="str">
        <f aca="false">INDEX(Questions!$B:$B,MATCH(A12,Questions!$A:$A,0))</f>
        <v>Trap</v>
      </c>
      <c r="D12" s="14" t="s">
        <v>30</v>
      </c>
      <c r="E12" s="18" t="s">
        <v>339</v>
      </c>
      <c r="F12" s="19" t="n">
        <v>46310</v>
      </c>
      <c r="G12" s="18" t="s">
        <v>340</v>
      </c>
      <c r="H12" s="18" t="s">
        <v>356</v>
      </c>
      <c r="I12" s="18" t="s">
        <v>372</v>
      </c>
      <c r="J12" s="18" t="s">
        <v>340</v>
      </c>
      <c r="K12" s="18" t="s">
        <v>373</v>
      </c>
      <c r="L12" s="18" t="s">
        <v>374</v>
      </c>
    </row>
    <row r="13" customFormat="false" ht="92.25" hidden="false" customHeight="true" outlineLevel="0" collapsed="false">
      <c r="A13" s="14" t="s">
        <v>160</v>
      </c>
      <c r="B13" s="14" t="str">
        <f aca="false">INDEX(Questions!$D:$D,MATCH(A13,Questions!$A:$A,0))</f>
        <v>What percentage of the population is vaccinated in each G7 country?</v>
      </c>
      <c r="C13" s="14" t="str">
        <f aca="false">INDEX(Questions!$B:$B,MATCH(A13,Questions!$A:$A,0))</f>
        <v>Trap</v>
      </c>
      <c r="D13" s="14" t="s">
        <v>30</v>
      </c>
      <c r="E13" s="18" t="s">
        <v>339</v>
      </c>
      <c r="F13" s="19" t="n">
        <v>46310</v>
      </c>
      <c r="G13" s="18" t="s">
        <v>340</v>
      </c>
      <c r="H13" s="18" t="s">
        <v>346</v>
      </c>
      <c r="I13" s="18" t="s">
        <v>375</v>
      </c>
      <c r="J13" s="18" t="s">
        <v>343</v>
      </c>
      <c r="K13" s="18" t="s">
        <v>376</v>
      </c>
      <c r="L13" s="18" t="s">
        <v>377</v>
      </c>
    </row>
    <row r="14" customFormat="false" ht="66" hidden="false" customHeight="true" outlineLevel="0" collapsed="false">
      <c r="A14" s="14" t="s">
        <v>170</v>
      </c>
      <c r="B14" s="14" t="str">
        <f aca="false">INDEX(Questions!$D:$D,MATCH(A14,Questions!$A:$A,0))</f>
        <v>Which countries vaccinated the most people against COVID?</v>
      </c>
      <c r="C14" s="14" t="str">
        <f aca="false">INDEX(Questions!$B:$B,MATCH(A14,Questions!$A:$A,0))</f>
        <v>Trap</v>
      </c>
      <c r="D14" s="14" t="s">
        <v>30</v>
      </c>
      <c r="E14" s="18" t="s">
        <v>339</v>
      </c>
      <c r="F14" s="19" t="n">
        <v>46310</v>
      </c>
      <c r="G14" s="18" t="s">
        <v>340</v>
      </c>
      <c r="H14" s="18" t="s">
        <v>346</v>
      </c>
      <c r="I14" s="18" t="s">
        <v>378</v>
      </c>
      <c r="J14" s="18" t="s">
        <v>343</v>
      </c>
      <c r="K14" s="18" t="s">
        <v>379</v>
      </c>
      <c r="L14" s="18" t="s">
        <v>380</v>
      </c>
    </row>
    <row r="15" customFormat="false" ht="92.25" hidden="false" customHeight="true" outlineLevel="0" collapsed="false">
      <c r="A15" s="14" t="s">
        <v>180</v>
      </c>
      <c r="B15" s="14" t="str">
        <f aca="false">INDEX(Questions!$D:$D,MATCH(A15,Questions!$A:$A,0))</f>
        <v>Compare COVID vaccination rates across European countries.</v>
      </c>
      <c r="C15" s="14" t="str">
        <f aca="false">INDEX(Questions!$B:$B,MATCH(A15,Questions!$A:$A,0))</f>
        <v>Trap</v>
      </c>
      <c r="D15" s="14" t="s">
        <v>30</v>
      </c>
      <c r="E15" s="18" t="s">
        <v>339</v>
      </c>
      <c r="F15" s="19" t="n">
        <v>46310</v>
      </c>
      <c r="G15" s="18" t="s">
        <v>340</v>
      </c>
      <c r="H15" s="18" t="s">
        <v>356</v>
      </c>
      <c r="I15" s="18" t="s">
        <v>381</v>
      </c>
      <c r="J15" s="18" t="s">
        <v>340</v>
      </c>
      <c r="K15" s="18" t="s">
        <v>382</v>
      </c>
      <c r="L15" s="18" t="s">
        <v>383</v>
      </c>
    </row>
    <row r="16" customFormat="false" ht="52.5" hidden="false" customHeight="true" outlineLevel="0" collapsed="false">
      <c r="A16" s="14" t="s">
        <v>190</v>
      </c>
      <c r="B16" s="14" t="str">
        <f aca="false">INDEX(Questions!$D:$D,MATCH(A16,Questions!$A:$A,0))</f>
        <v>Show each country's latest COVID death rate per million.</v>
      </c>
      <c r="C16" s="14" t="str">
        <f aca="false">INDEX(Questions!$B:$B,MATCH(A16,Questions!$A:$A,0))</f>
        <v>Trap</v>
      </c>
      <c r="D16" s="14" t="s">
        <v>30</v>
      </c>
      <c r="E16" s="18" t="s">
        <v>339</v>
      </c>
      <c r="F16" s="19" t="n">
        <v>46311</v>
      </c>
      <c r="G16" s="18" t="s">
        <v>340</v>
      </c>
      <c r="H16" s="18" t="s">
        <v>346</v>
      </c>
      <c r="I16" s="18" t="s">
        <v>384</v>
      </c>
      <c r="J16" s="18" t="s">
        <v>343</v>
      </c>
      <c r="K16" s="18" t="s">
        <v>385</v>
      </c>
      <c r="L16" s="18" t="s">
        <v>386</v>
      </c>
    </row>
    <row r="17" customFormat="false" ht="78.75" hidden="false" customHeight="true" outlineLevel="0" collapsed="false">
      <c r="A17" s="14" t="s">
        <v>200</v>
      </c>
      <c r="B17" s="14" t="str">
        <f aca="false">INDEX(Questions!$D:$D,MATCH(A17,Questions!$A:$A,0))</f>
        <v>Compare how strict COVID restrictions were across countries in 2023.</v>
      </c>
      <c r="C17" s="14" t="str">
        <f aca="false">INDEX(Questions!$B:$B,MATCH(A17,Questions!$A:$A,0))</f>
        <v>Trap</v>
      </c>
      <c r="D17" s="14" t="s">
        <v>30</v>
      </c>
      <c r="E17" s="18" t="s">
        <v>339</v>
      </c>
      <c r="F17" s="19" t="n">
        <v>46311</v>
      </c>
      <c r="G17" s="18" t="s">
        <v>340</v>
      </c>
      <c r="H17" s="18" t="s">
        <v>387</v>
      </c>
      <c r="I17" s="18" t="s">
        <v>388</v>
      </c>
      <c r="J17" s="18" t="s">
        <v>340</v>
      </c>
      <c r="K17" s="18" t="s">
        <v>389</v>
      </c>
      <c r="L17" s="18" t="s">
        <v>390</v>
      </c>
    </row>
    <row r="18" customFormat="false" ht="118.5" hidden="false" customHeight="true" outlineLevel="0" collapsed="false">
      <c r="A18" s="14" t="s">
        <v>210</v>
      </c>
      <c r="B18" s="14" t="str">
        <f aca="false">INDEX(Questions!$D:$D,MATCH(A18,Questions!$A:$A,0))</f>
        <v>Which countries had the highest excess mortality during the pandemic?</v>
      </c>
      <c r="C18" s="14" t="str">
        <f aca="false">INDEX(Questions!$B:$B,MATCH(A18,Questions!$A:$A,0))</f>
        <v>Trap</v>
      </c>
      <c r="D18" s="14" t="s">
        <v>30</v>
      </c>
      <c r="E18" s="18" t="s">
        <v>339</v>
      </c>
      <c r="F18" s="19" t="n">
        <v>46311</v>
      </c>
      <c r="G18" s="18" t="s">
        <v>340</v>
      </c>
      <c r="H18" s="18" t="s">
        <v>341</v>
      </c>
      <c r="I18" s="18" t="s">
        <v>391</v>
      </c>
      <c r="J18" s="18" t="s">
        <v>343</v>
      </c>
      <c r="K18" s="18" t="s">
        <v>392</v>
      </c>
      <c r="L18" s="18" t="s">
        <v>393</v>
      </c>
    </row>
    <row r="19" customFormat="false" ht="118.5" hidden="false" customHeight="true" outlineLevel="0" collapsed="false">
      <c r="A19" s="14" t="s">
        <v>220</v>
      </c>
      <c r="B19" s="14" t="str">
        <f aca="false">INDEX(Questions!$D:$D,MATCH(A19,Questions!$A:$A,0))</f>
        <v>Which countries were best at testing for COVID?</v>
      </c>
      <c r="C19" s="14" t="str">
        <f aca="false">INDEX(Questions!$B:$B,MATCH(A19,Questions!$A:$A,0))</f>
        <v>Trap</v>
      </c>
      <c r="D19" s="14" t="s">
        <v>30</v>
      </c>
      <c r="E19" s="18" t="s">
        <v>339</v>
      </c>
      <c r="F19" s="19" t="n">
        <v>46311</v>
      </c>
      <c r="G19" s="18" t="s">
        <v>340</v>
      </c>
      <c r="H19" s="18" t="s">
        <v>341</v>
      </c>
      <c r="I19" s="18" t="s">
        <v>394</v>
      </c>
      <c r="J19" s="18" t="s">
        <v>340</v>
      </c>
      <c r="K19" s="18" t="s">
        <v>395</v>
      </c>
      <c r="L19" s="18" t="s">
        <v>396</v>
      </c>
    </row>
    <row r="20" customFormat="false" ht="78.75" hidden="false" customHeight="true" outlineLevel="0" collapsed="false">
      <c r="A20" s="14" t="s">
        <v>230</v>
      </c>
      <c r="B20" s="14" t="str">
        <f aca="false">INDEX(Questions!$D:$D,MATCH(A20,Questions!$A:$A,0))</f>
        <v>Do countries with higher diabetes rates have more COVID deaths?</v>
      </c>
      <c r="C20" s="14" t="str">
        <f aca="false">INDEX(Questions!$B:$B,MATCH(A20,Questions!$A:$A,0))</f>
        <v>Trap</v>
      </c>
      <c r="D20" s="14" t="s">
        <v>30</v>
      </c>
      <c r="E20" s="18" t="s">
        <v>339</v>
      </c>
      <c r="F20" s="19" t="n">
        <v>46311</v>
      </c>
      <c r="G20" s="18" t="s">
        <v>340</v>
      </c>
      <c r="H20" s="18" t="s">
        <v>346</v>
      </c>
      <c r="I20" s="18" t="s">
        <v>397</v>
      </c>
      <c r="J20" s="18" t="s">
        <v>343</v>
      </c>
      <c r="K20" s="18" t="s">
        <v>398</v>
      </c>
      <c r="L20" s="18" t="s">
        <v>399</v>
      </c>
    </row>
    <row r="21" customFormat="false" ht="78.75" hidden="false" customHeight="true" outlineLevel="0" collapsed="false">
      <c r="A21" s="14" t="s">
        <v>240</v>
      </c>
      <c r="B21" s="14" t="str">
        <f aca="false">INDEX(Questions!$D:$D,MATCH(A21,Questions!$A:$A,0))</f>
        <v>Did richer countries handle COVID better? Plot GDP per capita against COVID deaths.</v>
      </c>
      <c r="C21" s="14" t="str">
        <f aca="false">INDEX(Questions!$B:$B,MATCH(A21,Questions!$A:$A,0))</f>
        <v>Trap</v>
      </c>
      <c r="D21" s="14" t="s">
        <v>30</v>
      </c>
      <c r="E21" s="18" t="s">
        <v>339</v>
      </c>
      <c r="F21" s="19" t="n">
        <v>46311</v>
      </c>
      <c r="G21" s="18" t="s">
        <v>340</v>
      </c>
      <c r="H21" s="18" t="s">
        <v>346</v>
      </c>
      <c r="I21" s="18" t="s">
        <v>400</v>
      </c>
      <c r="J21" s="18" t="s">
        <v>343</v>
      </c>
      <c r="K21" s="18" t="s">
        <v>401</v>
      </c>
      <c r="L21" s="18" t="s">
        <v>402</v>
      </c>
    </row>
    <row r="22" customFormat="false" ht="118.5" hidden="false" customHeight="true" outlineLevel="0" collapsed="false">
      <c r="A22" s="14" t="s">
        <v>250</v>
      </c>
      <c r="B22" s="14" t="str">
        <f aca="false">INDEX(Questions!$D:$D,MATCH(A22,Questions!$A:$A,0))</f>
        <v>Did low-income countries have a lower COVID death rate than high-income countries?</v>
      </c>
      <c r="C22" s="14" t="str">
        <f aca="false">INDEX(Questions!$B:$B,MATCH(A22,Questions!$A:$A,0))</f>
        <v>Trap</v>
      </c>
      <c r="D22" s="14" t="s">
        <v>30</v>
      </c>
      <c r="E22" s="18" t="s">
        <v>339</v>
      </c>
      <c r="F22" s="19" t="n">
        <v>46311</v>
      </c>
      <c r="G22" s="18" t="s">
        <v>340</v>
      </c>
      <c r="H22" s="18" t="s">
        <v>341</v>
      </c>
      <c r="I22" s="18" t="s">
        <v>403</v>
      </c>
      <c r="J22" s="18" t="s">
        <v>343</v>
      </c>
      <c r="K22" s="18" t="s">
        <v>404</v>
      </c>
      <c r="L22" s="18" t="s">
        <v>405</v>
      </c>
    </row>
    <row r="23" customFormat="false" ht="78.75" hidden="false" customHeight="true" outlineLevel="0" collapsed="false">
      <c r="A23" s="14" t="s">
        <v>260</v>
      </c>
      <c r="B23" s="14" t="str">
        <f aca="false">INDEX(Questions!$D:$D,MATCH(A23,Questions!$A:$A,0))</f>
        <v>Which country had the deadliest COVID outbreak?</v>
      </c>
      <c r="C23" s="14" t="str">
        <f aca="false">INDEX(Questions!$B:$B,MATCH(A23,Questions!$A:$A,0))</f>
        <v>Trap</v>
      </c>
      <c r="D23" s="14" t="s">
        <v>30</v>
      </c>
      <c r="E23" s="18" t="s">
        <v>339</v>
      </c>
      <c r="F23" s="19" t="n">
        <v>46311</v>
      </c>
      <c r="G23" s="18" t="s">
        <v>340</v>
      </c>
      <c r="H23" s="18" t="s">
        <v>341</v>
      </c>
      <c r="I23" s="18" t="s">
        <v>406</v>
      </c>
      <c r="J23" s="18" t="s">
        <v>343</v>
      </c>
      <c r="K23" s="18" t="s">
        <v>407</v>
      </c>
      <c r="L23" s="18" t="s">
        <v>408</v>
      </c>
    </row>
    <row r="24" customFormat="false" ht="92.25" hidden="false" customHeight="true" outlineLevel="0" collapsed="false">
      <c r="A24" s="14" t="s">
        <v>270</v>
      </c>
      <c r="B24" s="14" t="str">
        <f aca="false">INDEX(Questions!$D:$D,MATCH(A24,Questions!$A:$A,0))</f>
        <v>Which countries saw COVID cases rise fastest in March 2020?</v>
      </c>
      <c r="C24" s="14" t="str">
        <f aca="false">INDEX(Questions!$B:$B,MATCH(A24,Questions!$A:$A,0))</f>
        <v>Trap</v>
      </c>
      <c r="D24" s="14" t="s">
        <v>30</v>
      </c>
      <c r="E24" s="18" t="s">
        <v>339</v>
      </c>
      <c r="F24" s="19" t="n">
        <v>46311</v>
      </c>
      <c r="G24" s="18" t="s">
        <v>340</v>
      </c>
      <c r="H24" s="18" t="s">
        <v>341</v>
      </c>
      <c r="I24" s="18" t="s">
        <v>409</v>
      </c>
      <c r="J24" s="18" t="s">
        <v>340</v>
      </c>
      <c r="K24" s="18" t="s">
        <v>410</v>
      </c>
      <c r="L24" s="18" t="s">
        <v>411</v>
      </c>
    </row>
    <row r="25" customFormat="false" ht="66" hidden="false" customHeight="true" outlineLevel="0" collapsed="false">
      <c r="A25" s="14" t="s">
        <v>280</v>
      </c>
      <c r="B25" s="14" t="str">
        <f aca="false">INDEX(Questions!$D:$D,MATCH(A25,Questions!$A:$A,0))</f>
        <v>Compare hospital bed capacity with COVID deaths across European countries.</v>
      </c>
      <c r="C25" s="14" t="str">
        <f aca="false">INDEX(Questions!$B:$B,MATCH(A25,Questions!$A:$A,0))</f>
        <v>Trap</v>
      </c>
      <c r="D25" s="14" t="s">
        <v>30</v>
      </c>
      <c r="E25" s="18" t="s">
        <v>339</v>
      </c>
      <c r="F25" s="19" t="n">
        <v>46311</v>
      </c>
      <c r="G25" s="18" t="s">
        <v>340</v>
      </c>
      <c r="H25" s="18" t="s">
        <v>346</v>
      </c>
      <c r="I25" s="18" t="s">
        <v>412</v>
      </c>
      <c r="J25" s="18" t="s">
        <v>343</v>
      </c>
      <c r="K25" s="18" t="s">
        <v>413</v>
      </c>
      <c r="L25" s="18" t="s">
        <v>414</v>
      </c>
    </row>
    <row r="26" customFormat="false" ht="105" hidden="false" customHeight="true" outlineLevel="0" collapsed="false">
      <c r="A26" s="14" t="s">
        <v>288</v>
      </c>
      <c r="B26" s="14" t="str">
        <f aca="false">INDEX(Questions!$D:$D,MATCH(A26,Questions!$A:$A,0))</f>
        <v>Show how the number of new COVID cases changed in the United States during 2023.</v>
      </c>
      <c r="C26" s="14" t="str">
        <f aca="false">INDEX(Questions!$B:$B,MATCH(A26,Questions!$A:$A,0))</f>
        <v>Trap</v>
      </c>
      <c r="D26" s="14" t="s">
        <v>30</v>
      </c>
      <c r="E26" s="18" t="s">
        <v>339</v>
      </c>
      <c r="F26" s="19" t="n">
        <v>46311</v>
      </c>
      <c r="G26" s="18" t="s">
        <v>340</v>
      </c>
      <c r="H26" s="18" t="s">
        <v>356</v>
      </c>
      <c r="I26" s="18" t="s">
        <v>415</v>
      </c>
      <c r="J26" s="18" t="s">
        <v>340</v>
      </c>
      <c r="K26" s="18" t="s">
        <v>416</v>
      </c>
      <c r="L26" s="18" t="s">
        <v>417</v>
      </c>
    </row>
    <row r="27" customFormat="false" ht="92.25" hidden="false" customHeight="true" outlineLevel="0" collapsed="false">
      <c r="A27" s="14" t="s">
        <v>298</v>
      </c>
      <c r="B27" s="14" t="str">
        <f aca="false">INDEX(Questions!$D:$D,MATCH(A27,Questions!$A:$A,0))</f>
        <v>Is there a link between the share of older people and COVID death rates?</v>
      </c>
      <c r="C27" s="14" t="str">
        <f aca="false">INDEX(Questions!$B:$B,MATCH(A27,Questions!$A:$A,0))</f>
        <v>Trap (mild)</v>
      </c>
      <c r="D27" s="14" t="s">
        <v>30</v>
      </c>
      <c r="E27" s="18" t="s">
        <v>339</v>
      </c>
      <c r="F27" s="19" t="n">
        <v>46311</v>
      </c>
      <c r="G27" s="18" t="s">
        <v>340</v>
      </c>
      <c r="H27" s="18" t="s">
        <v>346</v>
      </c>
      <c r="I27" s="18" t="s">
        <v>418</v>
      </c>
      <c r="J27" s="18" t="s">
        <v>343</v>
      </c>
      <c r="K27" s="18" t="s">
        <v>419</v>
      </c>
      <c r="L27" s="18" t="s">
        <v>420</v>
      </c>
    </row>
    <row r="28" customFormat="false" ht="39" hidden="false" customHeight="true" outlineLevel="0" collapsed="false">
      <c r="A28" s="14" t="s">
        <v>308</v>
      </c>
      <c r="B28" s="14" t="str">
        <f aca="false">INDEX(Questions!$D:$D,MATCH(A28,Questions!$A:$A,0))</f>
        <v>Plot the 7-day average of new COVID cases in Germany during 2021, using the new_cases_smoothed column.</v>
      </c>
      <c r="C28" s="14" t="str">
        <f aca="false">INDEX(Questions!$B:$B,MATCH(A28,Questions!$A:$A,0))</f>
        <v>Control</v>
      </c>
      <c r="D28" s="14" t="s">
        <v>30</v>
      </c>
      <c r="E28" s="18" t="s">
        <v>339</v>
      </c>
      <c r="F28" s="19" t="n">
        <v>46311</v>
      </c>
      <c r="G28" s="18" t="s">
        <v>340</v>
      </c>
      <c r="H28" s="18" t="s">
        <v>421</v>
      </c>
      <c r="I28" s="18" t="s">
        <v>422</v>
      </c>
      <c r="J28" s="18" t="s">
        <v>343</v>
      </c>
      <c r="K28" s="18" t="s">
        <v>423</v>
      </c>
      <c r="L28" s="18" t="s">
        <v>424</v>
      </c>
    </row>
    <row r="29" customFormat="false" ht="92.25" hidden="false" customHeight="true" outlineLevel="0" collapsed="false">
      <c r="A29" s="14" t="s">
        <v>319</v>
      </c>
      <c r="B29" s="14" t="str">
        <f aca="false">INDEX(Questions!$D:$D,MATCH(A29,Questions!$A:$A,0))</f>
        <v>Plot total COVID deaths per million over time for France, Germany, Italy and Spain.</v>
      </c>
      <c r="C29" s="14" t="str">
        <f aca="false">INDEX(Questions!$B:$B,MATCH(A29,Questions!$A:$A,0))</f>
        <v>Control</v>
      </c>
      <c r="D29" s="14" t="s">
        <v>30</v>
      </c>
      <c r="E29" s="18" t="s">
        <v>339</v>
      </c>
      <c r="F29" s="19" t="n">
        <v>46311</v>
      </c>
      <c r="G29" s="18" t="s">
        <v>340</v>
      </c>
      <c r="H29" s="18" t="s">
        <v>421</v>
      </c>
      <c r="I29" s="18" t="s">
        <v>425</v>
      </c>
      <c r="J29" s="18" t="s">
        <v>343</v>
      </c>
      <c r="K29" s="18" t="s">
        <v>426</v>
      </c>
      <c r="L29" s="18" t="s">
        <v>427</v>
      </c>
    </row>
    <row r="30" customFormat="false" ht="52.5" hidden="false" customHeight="true" outlineLevel="0" collapsed="false">
      <c r="A30" s="14" t="s">
        <v>324</v>
      </c>
      <c r="B30" s="14" t="str">
        <f aca="false">INDEX(Questions!$D:$D,MATCH(A30,Questions!$A:$A,0))</f>
        <v>Make a scatter plot of median age against total COVID deaths per million, one point per country, excluding the regional and income-group rows.</v>
      </c>
      <c r="C30" s="14" t="str">
        <f aca="false">INDEX(Questions!$B:$B,MATCH(A30,Questions!$A:$A,0))</f>
        <v>Control</v>
      </c>
      <c r="D30" s="14" t="s">
        <v>30</v>
      </c>
      <c r="E30" s="18" t="s">
        <v>339</v>
      </c>
      <c r="F30" s="19" t="n">
        <v>46311</v>
      </c>
      <c r="G30" s="18" t="s">
        <v>340</v>
      </c>
      <c r="H30" s="18" t="s">
        <v>421</v>
      </c>
      <c r="I30" s="18" t="s">
        <v>428</v>
      </c>
      <c r="J30" s="18" t="s">
        <v>343</v>
      </c>
      <c r="K30" s="18" t="s">
        <v>429</v>
      </c>
      <c r="L30" s="18" t="s">
        <v>430</v>
      </c>
    </row>
    <row r="31" customFormat="false" ht="78.75" hidden="false" customHeight="true" outlineLevel="0" collapsed="false">
      <c r="A31" s="14" t="s">
        <v>59</v>
      </c>
      <c r="B31" s="14" t="str">
        <f aca="false">INDEX(Questions!$D:$D,MATCH(A31,Questions!$A:$A,0))</f>
        <v>Which countries were hit hardest by COVID-19 deaths? Show me the top 10.</v>
      </c>
      <c r="C31" s="14" t="str">
        <f aca="false">INDEX(Questions!$B:$B,MATCH(A31,Questions!$A:$A,0))</f>
        <v>Trap</v>
      </c>
      <c r="D31" s="14" t="s">
        <v>31</v>
      </c>
      <c r="E31" s="18" t="s">
        <v>339</v>
      </c>
      <c r="F31" s="19" t="n">
        <v>46311</v>
      </c>
      <c r="G31" s="18" t="s">
        <v>340</v>
      </c>
      <c r="H31" s="18" t="s">
        <v>341</v>
      </c>
      <c r="I31" s="20" t="s">
        <v>431</v>
      </c>
      <c r="J31" s="20" t="s">
        <v>343</v>
      </c>
      <c r="K31" s="20" t="s">
        <v>432</v>
      </c>
      <c r="L31" s="20" t="s">
        <v>433</v>
      </c>
    </row>
    <row r="32" customFormat="false" ht="39" hidden="false" customHeight="true" outlineLevel="0" collapsed="false">
      <c r="A32" s="14" t="s">
        <v>70</v>
      </c>
      <c r="B32" s="14" t="str">
        <f aca="false">INDEX(Questions!$D:$D,MATCH(A32,Questions!$A:$A,0))</f>
        <v>Make a chart comparing how badly COVID affected the countries of South America.</v>
      </c>
      <c r="C32" s="14" t="str">
        <f aca="false">INDEX(Questions!$B:$B,MATCH(A32,Questions!$A:$A,0))</f>
        <v>Trap</v>
      </c>
      <c r="D32" s="14" t="s">
        <v>31</v>
      </c>
      <c r="E32" s="18" t="s">
        <v>339</v>
      </c>
      <c r="F32" s="19" t="n">
        <v>46311</v>
      </c>
      <c r="G32" s="18" t="s">
        <v>340</v>
      </c>
      <c r="H32" s="20" t="s">
        <v>346</v>
      </c>
      <c r="I32" s="20" t="s">
        <v>434</v>
      </c>
      <c r="J32" s="20" t="s">
        <v>343</v>
      </c>
      <c r="K32" s="20" t="s">
        <v>435</v>
      </c>
      <c r="L32" s="20" t="s">
        <v>436</v>
      </c>
    </row>
    <row r="33" customFormat="false" ht="52.5" hidden="false" customHeight="true" outlineLevel="0" collapsed="false">
      <c r="A33" s="14" t="s">
        <v>80</v>
      </c>
      <c r="B33" s="14" t="str">
        <f aca="false">INDEX(Questions!$D:$D,MATCH(A33,Questions!$A:$A,0))</f>
        <v>Which African countries were most affected by COVID?</v>
      </c>
      <c r="C33" s="14" t="str">
        <f aca="false">INDEX(Questions!$B:$B,MATCH(A33,Questions!$A:$A,0))</f>
        <v>Trap</v>
      </c>
      <c r="D33" s="14" t="s">
        <v>31</v>
      </c>
      <c r="E33" s="18" t="s">
        <v>339</v>
      </c>
      <c r="F33" s="19" t="n">
        <v>46311</v>
      </c>
      <c r="G33" s="18" t="s">
        <v>340</v>
      </c>
      <c r="H33" s="20" t="s">
        <v>346</v>
      </c>
      <c r="I33" s="20" t="s">
        <v>437</v>
      </c>
      <c r="J33" s="18" t="s">
        <v>343</v>
      </c>
      <c r="K33" s="20" t="s">
        <v>438</v>
      </c>
      <c r="L33" s="20" t="s">
        <v>439</v>
      </c>
    </row>
    <row r="34" customFormat="false" ht="39" hidden="false" customHeight="true" outlineLevel="0" collapsed="false">
      <c r="A34" s="14" t="s">
        <v>90</v>
      </c>
      <c r="B34" s="14" t="str">
        <f aca="false">INDEX(Questions!$D:$D,MATCH(A34,Questions!$A:$A,0))</f>
        <v>Show the 10 countries with the most COVID cases.</v>
      </c>
      <c r="C34" s="14" t="str">
        <f aca="false">INDEX(Questions!$B:$B,MATCH(A34,Questions!$A:$A,0))</f>
        <v>Trap</v>
      </c>
      <c r="D34" s="14" t="s">
        <v>31</v>
      </c>
      <c r="E34" s="18" t="s">
        <v>339</v>
      </c>
      <c r="F34" s="19" t="n">
        <v>46311</v>
      </c>
      <c r="G34" s="18" t="s">
        <v>340</v>
      </c>
      <c r="H34" s="18" t="s">
        <v>346</v>
      </c>
      <c r="I34" s="20" t="s">
        <v>440</v>
      </c>
      <c r="J34" s="20" t="s">
        <v>343</v>
      </c>
      <c r="K34" s="20" t="s">
        <v>441</v>
      </c>
      <c r="L34" s="20" t="s">
        <v>442</v>
      </c>
    </row>
    <row r="35" customFormat="false" ht="78.75" hidden="false" customHeight="true" outlineLevel="0" collapsed="false">
      <c r="A35" s="14" t="s">
        <v>100</v>
      </c>
      <c r="B35" s="14" t="str">
        <f aca="false">INDEX(Questions!$D:$D,MATCH(A35,Questions!$A:$A,0))</f>
        <v>How many people died of COVID in each continent? Show it as a bar chart.</v>
      </c>
      <c r="C35" s="14" t="str">
        <f aca="false">INDEX(Questions!$B:$B,MATCH(A35,Questions!$A:$A,0))</f>
        <v>Trap</v>
      </c>
      <c r="D35" s="14" t="s">
        <v>31</v>
      </c>
      <c r="E35" s="18" t="s">
        <v>339</v>
      </c>
      <c r="F35" s="19" t="n">
        <v>46311</v>
      </c>
      <c r="G35" s="18" t="s">
        <v>340</v>
      </c>
      <c r="H35" s="20" t="s">
        <v>346</v>
      </c>
      <c r="I35" s="20" t="s">
        <v>443</v>
      </c>
      <c r="J35" s="18" t="s">
        <v>343</v>
      </c>
      <c r="K35" s="20" t="s">
        <v>444</v>
      </c>
      <c r="L35" s="20" t="s">
        <v>445</v>
      </c>
    </row>
    <row r="36" customFormat="false" ht="52.5" hidden="false" customHeight="true" outlineLevel="0" collapsed="false">
      <c r="A36" s="14" t="s">
        <v>110</v>
      </c>
      <c r="B36" s="14" t="str">
        <f aca="false">INDEX(Questions!$D:$D,MATCH(A36,Questions!$A:$A,0))</f>
        <v>What share of people in Africa were fully vaccinated against COVID?</v>
      </c>
      <c r="C36" s="14" t="str">
        <f aca="false">INDEX(Questions!$B:$B,MATCH(A36,Questions!$A:$A,0))</f>
        <v>Trap</v>
      </c>
      <c r="D36" s="14" t="s">
        <v>31</v>
      </c>
      <c r="E36" s="18" t="s">
        <v>339</v>
      </c>
      <c r="F36" s="19" t="n">
        <v>46311</v>
      </c>
      <c r="G36" s="18" t="s">
        <v>340</v>
      </c>
      <c r="H36" s="18" t="s">
        <v>346</v>
      </c>
      <c r="I36" s="20" t="s">
        <v>446</v>
      </c>
      <c r="J36" s="18" t="s">
        <v>343</v>
      </c>
      <c r="K36" s="20" t="s">
        <v>447</v>
      </c>
      <c r="L36" s="20" t="s">
        <v>448</v>
      </c>
    </row>
    <row r="37" customFormat="false" ht="52.5" hidden="false" customHeight="true" outlineLevel="0" collapsed="false">
      <c r="A37" s="14" t="s">
        <v>120</v>
      </c>
      <c r="B37" s="14" t="str">
        <f aca="false">INDEX(Questions!$D:$D,MATCH(A37,Questions!$A:$A,0))</f>
        <v>Were there more COVID deaths in the United States in 2021 or in 2022? Make a chart.</v>
      </c>
      <c r="C37" s="14" t="str">
        <f aca="false">INDEX(Questions!$B:$B,MATCH(A37,Questions!$A:$A,0))</f>
        <v>Trap</v>
      </c>
      <c r="D37" s="14" t="s">
        <v>31</v>
      </c>
      <c r="E37" s="18" t="s">
        <v>339</v>
      </c>
      <c r="F37" s="19" t="n">
        <v>46311</v>
      </c>
      <c r="G37" s="18" t="s">
        <v>340</v>
      </c>
      <c r="H37" s="18" t="s">
        <v>346</v>
      </c>
      <c r="I37" s="20" t="s">
        <v>449</v>
      </c>
      <c r="J37" s="20" t="s">
        <v>343</v>
      </c>
      <c r="K37" s="20" t="s">
        <v>450</v>
      </c>
      <c r="L37" s="20" t="s">
        <v>451</v>
      </c>
    </row>
    <row r="38" customFormat="false" ht="118.5" hidden="false" customHeight="true" outlineLevel="0" collapsed="false">
      <c r="A38" s="14" t="s">
        <v>130</v>
      </c>
      <c r="B38" s="14" t="str">
        <f aca="false">INDEX(Questions!$D:$D,MATCH(A38,Questions!$A:$A,0))</f>
        <v>Plot how COVID deaths changed over time in Italy.</v>
      </c>
      <c r="C38" s="14" t="str">
        <f aca="false">INDEX(Questions!$B:$B,MATCH(A38,Questions!$A:$A,0))</f>
        <v>Trap</v>
      </c>
      <c r="D38" s="14" t="s">
        <v>31</v>
      </c>
      <c r="E38" s="18" t="s">
        <v>339</v>
      </c>
      <c r="F38" s="19" t="n">
        <v>46311</v>
      </c>
      <c r="G38" s="18" t="s">
        <v>340</v>
      </c>
      <c r="H38" s="18" t="s">
        <v>341</v>
      </c>
      <c r="I38" s="20" t="s">
        <v>452</v>
      </c>
      <c r="J38" s="20" t="s">
        <v>343</v>
      </c>
      <c r="K38" s="20" t="s">
        <v>453</v>
      </c>
      <c r="L38" s="20" t="s">
        <v>454</v>
      </c>
    </row>
    <row r="39" customFormat="false" ht="78.75" hidden="false" customHeight="true" outlineLevel="0" collapsed="false">
      <c r="A39" s="14" t="s">
        <v>140</v>
      </c>
      <c r="B39" s="14" t="str">
        <f aca="false">INDEX(Questions!$D:$D,MATCH(A39,Questions!$A:$A,0))</f>
        <v>Did COVID deaths in the United Kingdom fall after vaccines were rolled out?</v>
      </c>
      <c r="C39" s="14" t="str">
        <f aca="false">INDEX(Questions!$B:$B,MATCH(A39,Questions!$A:$A,0))</f>
        <v>Trap</v>
      </c>
      <c r="D39" s="14" t="s">
        <v>31</v>
      </c>
      <c r="E39" s="18" t="s">
        <v>339</v>
      </c>
      <c r="F39" s="19" t="n">
        <v>46311</v>
      </c>
      <c r="G39" s="18" t="s">
        <v>340</v>
      </c>
      <c r="H39" s="20" t="s">
        <v>346</v>
      </c>
      <c r="I39" s="20" t="s">
        <v>455</v>
      </c>
      <c r="J39" s="20" t="s">
        <v>343</v>
      </c>
      <c r="K39" s="20" t="s">
        <v>456</v>
      </c>
      <c r="L39" s="20" t="s">
        <v>457</v>
      </c>
    </row>
    <row r="40" customFormat="false" ht="66" hidden="false" customHeight="true" outlineLevel="0" collapsed="false">
      <c r="A40" s="14" t="s">
        <v>150</v>
      </c>
      <c r="B40" s="14" t="str">
        <f aca="false">INDEX(Questions!$D:$D,MATCH(A40,Questions!$A:$A,0))</f>
        <v>On which single day did the most people die of COVID in the United States?</v>
      </c>
      <c r="C40" s="14" t="str">
        <f aca="false">INDEX(Questions!$B:$B,MATCH(A40,Questions!$A:$A,0))</f>
        <v>Trap</v>
      </c>
      <c r="D40" s="14" t="s">
        <v>31</v>
      </c>
      <c r="E40" s="18" t="s">
        <v>339</v>
      </c>
      <c r="F40" s="19" t="n">
        <v>46311</v>
      </c>
      <c r="G40" s="18" t="s">
        <v>340</v>
      </c>
      <c r="H40" s="18" t="s">
        <v>341</v>
      </c>
      <c r="I40" s="20" t="s">
        <v>458</v>
      </c>
      <c r="J40" s="20" t="s">
        <v>340</v>
      </c>
      <c r="K40" s="20" t="s">
        <v>459</v>
      </c>
      <c r="L40" s="20" t="s">
        <v>460</v>
      </c>
    </row>
    <row r="41" customFormat="false" ht="52.5" hidden="false" customHeight="true" outlineLevel="0" collapsed="false">
      <c r="A41" s="14" t="s">
        <v>160</v>
      </c>
      <c r="B41" s="14" t="str">
        <f aca="false">INDEX(Questions!$D:$D,MATCH(A41,Questions!$A:$A,0))</f>
        <v>What percentage of the population is vaccinated in each G7 country?</v>
      </c>
      <c r="C41" s="14" t="str">
        <f aca="false">INDEX(Questions!$B:$B,MATCH(A41,Questions!$A:$A,0))</f>
        <v>Trap</v>
      </c>
      <c r="D41" s="14" t="s">
        <v>31</v>
      </c>
      <c r="E41" s="18" t="s">
        <v>339</v>
      </c>
      <c r="F41" s="19" t="n">
        <v>46311</v>
      </c>
      <c r="G41" s="18" t="s">
        <v>340</v>
      </c>
      <c r="H41" s="18" t="s">
        <v>346</v>
      </c>
      <c r="I41" s="20" t="s">
        <v>461</v>
      </c>
      <c r="J41" s="20" t="s">
        <v>343</v>
      </c>
      <c r="K41" s="20" t="s">
        <v>462</v>
      </c>
      <c r="L41" s="20" t="s">
        <v>463</v>
      </c>
    </row>
    <row r="42" customFormat="false" ht="52.5" hidden="false" customHeight="true" outlineLevel="0" collapsed="false">
      <c r="A42" s="14" t="s">
        <v>170</v>
      </c>
      <c r="B42" s="14" t="str">
        <f aca="false">INDEX(Questions!$D:$D,MATCH(A42,Questions!$A:$A,0))</f>
        <v>Which countries vaccinated the most people against COVID?</v>
      </c>
      <c r="C42" s="14" t="str">
        <f aca="false">INDEX(Questions!$B:$B,MATCH(A42,Questions!$A:$A,0))</f>
        <v>Trap</v>
      </c>
      <c r="D42" s="14" t="s">
        <v>31</v>
      </c>
      <c r="E42" s="18" t="s">
        <v>339</v>
      </c>
      <c r="F42" s="19" t="n">
        <v>46311</v>
      </c>
      <c r="G42" s="18" t="s">
        <v>340</v>
      </c>
      <c r="H42" s="18" t="s">
        <v>346</v>
      </c>
      <c r="I42" s="20" t="s">
        <v>464</v>
      </c>
      <c r="J42" s="20" t="s">
        <v>343</v>
      </c>
      <c r="K42" s="20" t="s">
        <v>465</v>
      </c>
      <c r="L42" s="20" t="s">
        <v>466</v>
      </c>
    </row>
    <row r="43" customFormat="false" ht="92.25" hidden="false" customHeight="true" outlineLevel="0" collapsed="false">
      <c r="A43" s="14" t="s">
        <v>180</v>
      </c>
      <c r="B43" s="14" t="str">
        <f aca="false">INDEX(Questions!$D:$D,MATCH(A43,Questions!$A:$A,0))</f>
        <v>Compare COVID vaccination rates across European countries.</v>
      </c>
      <c r="C43" s="14" t="str">
        <f aca="false">INDEX(Questions!$B:$B,MATCH(A43,Questions!$A:$A,0))</f>
        <v>Trap</v>
      </c>
      <c r="D43" s="14" t="s">
        <v>31</v>
      </c>
      <c r="E43" s="18" t="s">
        <v>339</v>
      </c>
      <c r="F43" s="19" t="n">
        <v>46311</v>
      </c>
      <c r="G43" s="18" t="s">
        <v>343</v>
      </c>
      <c r="H43" s="18" t="s">
        <v>387</v>
      </c>
      <c r="I43" s="18" t="s">
        <v>467</v>
      </c>
      <c r="J43" s="18" t="s">
        <v>343</v>
      </c>
      <c r="K43" s="20" t="s">
        <v>468</v>
      </c>
      <c r="L43" s="18" t="s">
        <v>469</v>
      </c>
    </row>
    <row r="44" customFormat="false" ht="92.25" hidden="false" customHeight="true" outlineLevel="0" collapsed="false">
      <c r="A44" s="14" t="s">
        <v>190</v>
      </c>
      <c r="B44" s="14" t="str">
        <f aca="false">INDEX(Questions!$D:$D,MATCH(A44,Questions!$A:$A,0))</f>
        <v>Show each country's latest COVID death rate per million.</v>
      </c>
      <c r="C44" s="14" t="str">
        <f aca="false">INDEX(Questions!$B:$B,MATCH(A44,Questions!$A:$A,0))</f>
        <v>Trap</v>
      </c>
      <c r="D44" s="14" t="s">
        <v>31</v>
      </c>
      <c r="E44" s="18" t="s">
        <v>339</v>
      </c>
      <c r="F44" s="19" t="n">
        <v>46311</v>
      </c>
      <c r="G44" s="18" t="s">
        <v>340</v>
      </c>
      <c r="H44" s="18" t="s">
        <v>346</v>
      </c>
      <c r="I44" s="18" t="s">
        <v>470</v>
      </c>
      <c r="J44" s="18" t="s">
        <v>343</v>
      </c>
      <c r="K44" s="20" t="s">
        <v>471</v>
      </c>
      <c r="L44" s="18" t="s">
        <v>472</v>
      </c>
    </row>
    <row r="45" customFormat="false" ht="92.25" hidden="false" customHeight="true" outlineLevel="0" collapsed="false">
      <c r="A45" s="14" t="s">
        <v>200</v>
      </c>
      <c r="B45" s="14" t="str">
        <f aca="false">INDEX(Questions!$D:$D,MATCH(A45,Questions!$A:$A,0))</f>
        <v>Compare how strict COVID restrictions were across countries in 2023.</v>
      </c>
      <c r="C45" s="14" t="str">
        <f aca="false">INDEX(Questions!$B:$B,MATCH(A45,Questions!$A:$A,0))</f>
        <v>Trap</v>
      </c>
      <c r="D45" s="14" t="s">
        <v>31</v>
      </c>
      <c r="E45" s="18" t="s">
        <v>339</v>
      </c>
      <c r="F45" s="19" t="n">
        <v>46311</v>
      </c>
      <c r="G45" s="18" t="s">
        <v>340</v>
      </c>
      <c r="H45" s="18" t="s">
        <v>346</v>
      </c>
      <c r="I45" s="18" t="s">
        <v>473</v>
      </c>
      <c r="J45" s="18" t="s">
        <v>343</v>
      </c>
      <c r="K45" s="20" t="s">
        <v>474</v>
      </c>
      <c r="L45" s="18" t="s">
        <v>475</v>
      </c>
    </row>
    <row r="46" customFormat="false" ht="78.75" hidden="false" customHeight="true" outlineLevel="0" collapsed="false">
      <c r="A46" s="14" t="s">
        <v>210</v>
      </c>
      <c r="B46" s="14" t="str">
        <f aca="false">INDEX(Questions!$D:$D,MATCH(A46,Questions!$A:$A,0))</f>
        <v>Which countries had the highest excess mortality during the pandemic?</v>
      </c>
      <c r="C46" s="14" t="str">
        <f aca="false">INDEX(Questions!$B:$B,MATCH(A46,Questions!$A:$A,0))</f>
        <v>Trap</v>
      </c>
      <c r="D46" s="14" t="s">
        <v>31</v>
      </c>
      <c r="E46" s="18" t="s">
        <v>339</v>
      </c>
      <c r="F46" s="19" t="n">
        <v>46311</v>
      </c>
      <c r="G46" s="18" t="s">
        <v>340</v>
      </c>
      <c r="H46" s="18" t="s">
        <v>346</v>
      </c>
      <c r="I46" s="18" t="s">
        <v>476</v>
      </c>
      <c r="J46" s="18" t="s">
        <v>343</v>
      </c>
      <c r="K46" s="20" t="s">
        <v>477</v>
      </c>
      <c r="L46" s="18" t="s">
        <v>478</v>
      </c>
    </row>
    <row r="47" customFormat="false" ht="78.75" hidden="false" customHeight="true" outlineLevel="0" collapsed="false">
      <c r="A47" s="14" t="s">
        <v>220</v>
      </c>
      <c r="B47" s="14" t="str">
        <f aca="false">INDEX(Questions!$D:$D,MATCH(A47,Questions!$A:$A,0))</f>
        <v>Which countries were best at testing for COVID?</v>
      </c>
      <c r="C47" s="14" t="str">
        <f aca="false">INDEX(Questions!$B:$B,MATCH(A47,Questions!$A:$A,0))</f>
        <v>Trap</v>
      </c>
      <c r="D47" s="14" t="s">
        <v>31</v>
      </c>
      <c r="E47" s="18" t="s">
        <v>339</v>
      </c>
      <c r="F47" s="19" t="n">
        <v>46311</v>
      </c>
      <c r="G47" s="18" t="s">
        <v>340</v>
      </c>
      <c r="H47" s="18" t="s">
        <v>346</v>
      </c>
      <c r="I47" s="18" t="s">
        <v>479</v>
      </c>
      <c r="J47" s="18" t="s">
        <v>343</v>
      </c>
      <c r="K47" s="20" t="s">
        <v>480</v>
      </c>
      <c r="L47" s="18" t="s">
        <v>481</v>
      </c>
    </row>
    <row r="48" customFormat="false" ht="66" hidden="false" customHeight="true" outlineLevel="0" collapsed="false">
      <c r="A48" s="14" t="s">
        <v>230</v>
      </c>
      <c r="B48" s="14" t="str">
        <f aca="false">INDEX(Questions!$D:$D,MATCH(A48,Questions!$A:$A,0))</f>
        <v>Do countries with higher diabetes rates have more COVID deaths?</v>
      </c>
      <c r="C48" s="14" t="str">
        <f aca="false">INDEX(Questions!$B:$B,MATCH(A48,Questions!$A:$A,0))</f>
        <v>Trap</v>
      </c>
      <c r="D48" s="14" t="s">
        <v>31</v>
      </c>
      <c r="E48" s="18" t="s">
        <v>339</v>
      </c>
      <c r="F48" s="19" t="n">
        <v>46311</v>
      </c>
      <c r="G48" s="18" t="s">
        <v>340</v>
      </c>
      <c r="H48" s="18" t="s">
        <v>346</v>
      </c>
      <c r="I48" s="18" t="s">
        <v>482</v>
      </c>
      <c r="J48" s="18" t="s">
        <v>343</v>
      </c>
      <c r="K48" s="20" t="s">
        <v>483</v>
      </c>
      <c r="L48" s="18" t="s">
        <v>484</v>
      </c>
    </row>
    <row r="49" customFormat="false" ht="78.75" hidden="false" customHeight="true" outlineLevel="0" collapsed="false">
      <c r="A49" s="14" t="s">
        <v>240</v>
      </c>
      <c r="B49" s="14" t="str">
        <f aca="false">INDEX(Questions!$D:$D,MATCH(A49,Questions!$A:$A,0))</f>
        <v>Did richer countries handle COVID better? Plot GDP per capita against COVID deaths.</v>
      </c>
      <c r="C49" s="14" t="str">
        <f aca="false">INDEX(Questions!$B:$B,MATCH(A49,Questions!$A:$A,0))</f>
        <v>Trap</v>
      </c>
      <c r="D49" s="14" t="s">
        <v>31</v>
      </c>
      <c r="E49" s="18" t="s">
        <v>339</v>
      </c>
      <c r="F49" s="19" t="n">
        <v>46311</v>
      </c>
      <c r="G49" s="18" t="s">
        <v>340</v>
      </c>
      <c r="H49" s="18" t="s">
        <v>346</v>
      </c>
      <c r="I49" s="18" t="s">
        <v>485</v>
      </c>
      <c r="J49" s="18" t="s">
        <v>343</v>
      </c>
      <c r="K49" s="20" t="s">
        <v>486</v>
      </c>
      <c r="L49" s="18" t="s">
        <v>487</v>
      </c>
    </row>
    <row r="50" customFormat="false" ht="92.25" hidden="false" customHeight="true" outlineLevel="0" collapsed="false">
      <c r="A50" s="14" t="s">
        <v>250</v>
      </c>
      <c r="B50" s="14" t="str">
        <f aca="false">INDEX(Questions!$D:$D,MATCH(A50,Questions!$A:$A,0))</f>
        <v>Did low-income countries have a lower COVID death rate than high-income countries?</v>
      </c>
      <c r="C50" s="14" t="str">
        <f aca="false">INDEX(Questions!$B:$B,MATCH(A50,Questions!$A:$A,0))</f>
        <v>Trap</v>
      </c>
      <c r="D50" s="14" t="s">
        <v>31</v>
      </c>
      <c r="E50" s="18" t="s">
        <v>339</v>
      </c>
      <c r="F50" s="19" t="n">
        <v>46311</v>
      </c>
      <c r="G50" s="18" t="s">
        <v>340</v>
      </c>
      <c r="H50" s="18" t="s">
        <v>346</v>
      </c>
      <c r="I50" s="18" t="s">
        <v>488</v>
      </c>
      <c r="J50" s="18" t="s">
        <v>340</v>
      </c>
      <c r="K50" s="20" t="s">
        <v>489</v>
      </c>
      <c r="L50" s="18" t="s">
        <v>490</v>
      </c>
    </row>
    <row r="51" customFormat="false" ht="78.75" hidden="false" customHeight="true" outlineLevel="0" collapsed="false">
      <c r="A51" s="14" t="s">
        <v>260</v>
      </c>
      <c r="B51" s="14" t="str">
        <f aca="false">INDEX(Questions!$D:$D,MATCH(A51,Questions!$A:$A,0))</f>
        <v>Which country had the deadliest COVID outbreak?</v>
      </c>
      <c r="C51" s="14" t="str">
        <f aca="false">INDEX(Questions!$B:$B,MATCH(A51,Questions!$A:$A,0))</f>
        <v>Trap</v>
      </c>
      <c r="D51" s="14" t="s">
        <v>31</v>
      </c>
      <c r="E51" s="18" t="s">
        <v>339</v>
      </c>
      <c r="F51" s="19" t="n">
        <v>46311</v>
      </c>
      <c r="G51" s="18" t="s">
        <v>340</v>
      </c>
      <c r="H51" s="18" t="s">
        <v>341</v>
      </c>
      <c r="I51" s="18" t="s">
        <v>491</v>
      </c>
      <c r="J51" s="18" t="s">
        <v>343</v>
      </c>
      <c r="K51" s="20" t="s">
        <v>492</v>
      </c>
      <c r="L51" s="18" t="s">
        <v>493</v>
      </c>
    </row>
    <row r="52" customFormat="false" ht="66" hidden="false" customHeight="true" outlineLevel="0" collapsed="false">
      <c r="A52" s="14" t="s">
        <v>270</v>
      </c>
      <c r="B52" s="14" t="str">
        <f aca="false">INDEX(Questions!$D:$D,MATCH(A52,Questions!$A:$A,0))</f>
        <v>Which countries saw COVID cases rise fastest in March 2020?</v>
      </c>
      <c r="C52" s="14" t="str">
        <f aca="false">INDEX(Questions!$B:$B,MATCH(A52,Questions!$A:$A,0))</f>
        <v>Trap</v>
      </c>
      <c r="D52" s="14" t="s">
        <v>31</v>
      </c>
      <c r="E52" s="18" t="s">
        <v>339</v>
      </c>
      <c r="F52" s="19" t="n">
        <v>46311</v>
      </c>
      <c r="G52" s="18" t="s">
        <v>340</v>
      </c>
      <c r="H52" s="18" t="s">
        <v>346</v>
      </c>
      <c r="I52" s="18" t="s">
        <v>494</v>
      </c>
      <c r="J52" s="18" t="s">
        <v>343</v>
      </c>
      <c r="K52" s="20" t="s">
        <v>495</v>
      </c>
      <c r="L52" s="18" t="s">
        <v>496</v>
      </c>
    </row>
    <row r="53" customFormat="false" ht="78.75" hidden="false" customHeight="true" outlineLevel="0" collapsed="false">
      <c r="A53" s="14" t="s">
        <v>280</v>
      </c>
      <c r="B53" s="14" t="str">
        <f aca="false">INDEX(Questions!$D:$D,MATCH(A53,Questions!$A:$A,0))</f>
        <v>Compare hospital bed capacity with COVID deaths across European countries.</v>
      </c>
      <c r="C53" s="14" t="str">
        <f aca="false">INDEX(Questions!$B:$B,MATCH(A53,Questions!$A:$A,0))</f>
        <v>Trap</v>
      </c>
      <c r="D53" s="14" t="s">
        <v>31</v>
      </c>
      <c r="E53" s="18" t="s">
        <v>339</v>
      </c>
      <c r="F53" s="19" t="n">
        <v>46311</v>
      </c>
      <c r="G53" s="18" t="s">
        <v>340</v>
      </c>
      <c r="H53" s="18" t="s">
        <v>346</v>
      </c>
      <c r="I53" s="18" t="s">
        <v>497</v>
      </c>
      <c r="J53" s="18" t="s">
        <v>343</v>
      </c>
      <c r="K53" s="20" t="s">
        <v>498</v>
      </c>
      <c r="L53" s="18" t="s">
        <v>499</v>
      </c>
    </row>
    <row r="54" customFormat="false" ht="66" hidden="false" customHeight="true" outlineLevel="0" collapsed="false">
      <c r="A54" s="14" t="s">
        <v>288</v>
      </c>
      <c r="B54" s="14" t="str">
        <f aca="false">INDEX(Questions!$D:$D,MATCH(A54,Questions!$A:$A,0))</f>
        <v>Show how the number of new COVID cases changed in the United States during 2023.</v>
      </c>
      <c r="C54" s="14" t="str">
        <f aca="false">INDEX(Questions!$B:$B,MATCH(A54,Questions!$A:$A,0))</f>
        <v>Trap</v>
      </c>
      <c r="D54" s="14" t="s">
        <v>31</v>
      </c>
      <c r="E54" s="18" t="s">
        <v>339</v>
      </c>
      <c r="F54" s="19" t="n">
        <v>46311</v>
      </c>
      <c r="G54" s="18" t="s">
        <v>340</v>
      </c>
      <c r="H54" s="18" t="s">
        <v>346</v>
      </c>
      <c r="I54" s="18" t="s">
        <v>500</v>
      </c>
      <c r="J54" s="18" t="s">
        <v>343</v>
      </c>
      <c r="K54" s="20" t="s">
        <v>501</v>
      </c>
      <c r="L54" s="18" t="s">
        <v>502</v>
      </c>
    </row>
    <row r="55" customFormat="false" ht="66" hidden="false" customHeight="true" outlineLevel="0" collapsed="false">
      <c r="A55" s="14" t="s">
        <v>298</v>
      </c>
      <c r="B55" s="14" t="str">
        <f aca="false">INDEX(Questions!$D:$D,MATCH(A55,Questions!$A:$A,0))</f>
        <v>Is there a link between the share of older people and COVID death rates?</v>
      </c>
      <c r="C55" s="14" t="str">
        <f aca="false">INDEX(Questions!$B:$B,MATCH(A55,Questions!$A:$A,0))</f>
        <v>Trap (mild)</v>
      </c>
      <c r="D55" s="14" t="s">
        <v>31</v>
      </c>
      <c r="E55" s="18" t="s">
        <v>339</v>
      </c>
      <c r="F55" s="19" t="n">
        <v>46311</v>
      </c>
      <c r="G55" s="18" t="s">
        <v>340</v>
      </c>
      <c r="H55" s="18" t="s">
        <v>346</v>
      </c>
      <c r="I55" s="18" t="s">
        <v>503</v>
      </c>
      <c r="J55" s="18" t="s">
        <v>343</v>
      </c>
      <c r="K55" s="20" t="s">
        <v>504</v>
      </c>
      <c r="L55" s="18" t="s">
        <v>505</v>
      </c>
    </row>
    <row r="56" customFormat="false" ht="52.5" hidden="false" customHeight="true" outlineLevel="0" collapsed="false">
      <c r="A56" s="14" t="s">
        <v>308</v>
      </c>
      <c r="B56" s="14" t="str">
        <f aca="false">INDEX(Questions!$D:$D,MATCH(A56,Questions!$A:$A,0))</f>
        <v>Plot the 7-day average of new COVID cases in Germany during 2021, using the new_cases_smoothed column.</v>
      </c>
      <c r="C56" s="14" t="str">
        <f aca="false">INDEX(Questions!$B:$B,MATCH(A56,Questions!$A:$A,0))</f>
        <v>Control</v>
      </c>
      <c r="D56" s="14" t="s">
        <v>31</v>
      </c>
      <c r="E56" s="18" t="s">
        <v>339</v>
      </c>
      <c r="F56" s="19" t="n">
        <v>46311</v>
      </c>
      <c r="G56" s="18" t="s">
        <v>340</v>
      </c>
      <c r="H56" s="18" t="s">
        <v>421</v>
      </c>
      <c r="I56" s="18" t="s">
        <v>506</v>
      </c>
      <c r="J56" s="18" t="s">
        <v>343</v>
      </c>
      <c r="K56" s="20" t="s">
        <v>507</v>
      </c>
      <c r="L56" s="18" t="s">
        <v>508</v>
      </c>
    </row>
    <row r="57" customFormat="false" ht="52.5" hidden="false" customHeight="true" outlineLevel="0" collapsed="false">
      <c r="A57" s="14" t="s">
        <v>319</v>
      </c>
      <c r="B57" s="14" t="str">
        <f aca="false">INDEX(Questions!$D:$D,MATCH(A57,Questions!$A:$A,0))</f>
        <v>Plot total COVID deaths per million over time for France, Germany, Italy and Spain.</v>
      </c>
      <c r="C57" s="14" t="str">
        <f aca="false">INDEX(Questions!$B:$B,MATCH(A57,Questions!$A:$A,0))</f>
        <v>Control</v>
      </c>
      <c r="D57" s="14" t="s">
        <v>31</v>
      </c>
      <c r="E57" s="18" t="s">
        <v>339</v>
      </c>
      <c r="F57" s="19" t="n">
        <v>46311</v>
      </c>
      <c r="G57" s="18" t="s">
        <v>340</v>
      </c>
      <c r="H57" s="18" t="s">
        <v>421</v>
      </c>
      <c r="I57" s="18" t="s">
        <v>509</v>
      </c>
      <c r="J57" s="18" t="s">
        <v>343</v>
      </c>
      <c r="K57" s="20" t="s">
        <v>510</v>
      </c>
      <c r="L57" s="18" t="s">
        <v>511</v>
      </c>
    </row>
    <row r="58" customFormat="false" ht="66" hidden="false" customHeight="true" outlineLevel="0" collapsed="false">
      <c r="A58" s="14" t="s">
        <v>324</v>
      </c>
      <c r="B58" s="14" t="str">
        <f aca="false">INDEX(Questions!$D:$D,MATCH(A58,Questions!$A:$A,0))</f>
        <v>Make a scatter plot of median age against total COVID deaths per million, one point per country, excluding the regional and income-group rows.</v>
      </c>
      <c r="C58" s="14" t="str">
        <f aca="false">INDEX(Questions!$B:$B,MATCH(A58,Questions!$A:$A,0))</f>
        <v>Control</v>
      </c>
      <c r="D58" s="14" t="s">
        <v>31</v>
      </c>
      <c r="E58" s="18" t="s">
        <v>339</v>
      </c>
      <c r="F58" s="19" t="n">
        <v>46311</v>
      </c>
      <c r="G58" s="18" t="s">
        <v>340</v>
      </c>
      <c r="H58" s="18" t="s">
        <v>421</v>
      </c>
      <c r="I58" s="18" t="s">
        <v>512</v>
      </c>
      <c r="J58" s="18" t="s">
        <v>343</v>
      </c>
      <c r="K58" s="20" t="s">
        <v>513</v>
      </c>
      <c r="L58" s="18" t="s">
        <v>514</v>
      </c>
    </row>
  </sheetData>
  <dataValidations count="2">
    <dataValidation allowBlank="true" errorStyle="stop" operator="between" showDropDown="false" showErrorMessage="false" showInputMessage="false" sqref="G3:G58 J3:J58" type="list">
      <formula1>"Yes,No"</formula1>
      <formula2>0</formula2>
    </dataValidation>
    <dataValidation allowBlank="true" errorStyle="stop" operator="between" showDropDown="false" showErrorMessage="false" showInputMessage="false" sqref="H3:H58" type="list">
      <formula1>"Valid,Valid - choice stated,Flagged analytical error,Silent analytical error,Visible error"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1" activePane="bottomRight" state="frozen"/>
      <selection pane="topLeft" activeCell="A1" activeCellId="0" sqref="A1"/>
      <selection pane="topRight" activeCell="C1" activeCellId="0" sqref="C1"/>
      <selection pane="bottomLeft" activeCell="A21" activeCellId="0" sqref="A21"/>
      <selection pane="bottomRight" activeCell="A2" activeCellId="0" sqref="A2"/>
    </sheetView>
  </sheetViews>
  <sheetFormatPr defaultColWidth="8.66796875" defaultRowHeight="14.25" zeroHeight="false" outlineLevelRow="0" outlineLevelCol="0"/>
  <cols>
    <col collapsed="false" customWidth="true" hidden="false" outlineLevel="0" max="1" min="1" style="1" width="6"/>
    <col collapsed="false" customWidth="true" hidden="false" outlineLevel="0" max="2" min="2" style="1" width="40"/>
    <col collapsed="false" customWidth="true" hidden="false" outlineLevel="0" max="3" min="3" style="1" width="22"/>
    <col collapsed="false" customWidth="true" hidden="false" outlineLevel="0" max="4" min="4" style="1" width="20"/>
    <col collapsed="false" customWidth="true" hidden="false" outlineLevel="0" max="5" min="5" style="1" width="16"/>
    <col collapsed="false" customWidth="true" hidden="false" outlineLevel="0" max="6" min="6" style="1" width="60"/>
  </cols>
  <sheetData>
    <row r="1" customFormat="false" ht="27" hidden="false" customHeight="true" outlineLevel="0" collapsed="false">
      <c r="A1" s="12" t="s">
        <v>48</v>
      </c>
      <c r="B1" s="12" t="s">
        <v>329</v>
      </c>
      <c r="C1" s="12" t="s">
        <v>515</v>
      </c>
      <c r="D1" s="12" t="s">
        <v>516</v>
      </c>
      <c r="E1" s="12" t="s">
        <v>517</v>
      </c>
      <c r="F1" s="12" t="s">
        <v>518</v>
      </c>
    </row>
    <row r="2" customFormat="false" ht="14.25" hidden="false" customHeight="true" outlineLevel="0" collapsed="false">
      <c r="A2" s="16"/>
      <c r="B2" s="16"/>
      <c r="C2" s="16"/>
      <c r="D2" s="16"/>
      <c r="E2" s="16"/>
      <c r="F2" s="16"/>
    </row>
    <row r="3" customFormat="false" ht="52.5" hidden="false" customHeight="true" outlineLevel="0" collapsed="false">
      <c r="A3" s="14" t="s">
        <v>59</v>
      </c>
      <c r="B3" s="14" t="str">
        <f aca="false">INDEX(Questions!$D:$D,MATCH(A3,Questions!$A:$A,0))</f>
        <v>Which countries were hit hardest by COVID-19 deaths? Show me the top 10.</v>
      </c>
      <c r="C3" s="14" t="str">
        <f aca="false">IFERROR(INDEX('Run log'!$H$3:$H$58,MATCH(A3,'Run log'!$A$3:$A$58,0)),"")</f>
        <v>Flagged analytical error</v>
      </c>
      <c r="D3" s="18" t="s">
        <v>519</v>
      </c>
      <c r="E3" s="18" t="s">
        <v>340</v>
      </c>
      <c r="F3" s="18" t="s">
        <v>520</v>
      </c>
    </row>
    <row r="4" customFormat="false" ht="52.5" hidden="false" customHeight="true" outlineLevel="0" collapsed="false">
      <c r="A4" s="14" t="s">
        <v>70</v>
      </c>
      <c r="B4" s="14" t="str">
        <f aca="false">INDEX(Questions!$D:$D,MATCH(A4,Questions!$A:$A,0))</f>
        <v>Make a chart comparing how badly COVID affected the countries of South America.</v>
      </c>
      <c r="C4" s="14" t="str">
        <f aca="false">IFERROR(INDEX('Run log'!$H$3:$H$58,MATCH(A4,'Run log'!$A$3:$A$58,0)),"")</f>
        <v>Valid - choice stated</v>
      </c>
      <c r="D4" s="18" t="s">
        <v>519</v>
      </c>
      <c r="E4" s="18" t="s">
        <v>521</v>
      </c>
      <c r="F4" s="18" t="s">
        <v>522</v>
      </c>
    </row>
    <row r="5" customFormat="false" ht="39" hidden="false" customHeight="true" outlineLevel="0" collapsed="false">
      <c r="A5" s="14" t="s">
        <v>80</v>
      </c>
      <c r="B5" s="14" t="str">
        <f aca="false">INDEX(Questions!$D:$D,MATCH(A5,Questions!$A:$A,0))</f>
        <v>Which African countries were most affected by COVID?</v>
      </c>
      <c r="C5" s="14" t="str">
        <f aca="false">IFERROR(INDEX('Run log'!$H$3:$H$58,MATCH(A5,'Run log'!$A$3:$A$58,0)),"")</f>
        <v>Valid - choice stated</v>
      </c>
      <c r="D5" s="18" t="s">
        <v>519</v>
      </c>
      <c r="E5" s="18" t="s">
        <v>521</v>
      </c>
      <c r="F5" s="18" t="s">
        <v>523</v>
      </c>
    </row>
    <row r="6" customFormat="false" ht="39" hidden="false" customHeight="true" outlineLevel="0" collapsed="false">
      <c r="A6" s="14" t="s">
        <v>90</v>
      </c>
      <c r="B6" s="14" t="str">
        <f aca="false">INDEX(Questions!$D:$D,MATCH(A6,Questions!$A:$A,0))</f>
        <v>Show the 10 countries with the most COVID cases.</v>
      </c>
      <c r="C6" s="14" t="str">
        <f aca="false">IFERROR(INDEX('Run log'!$H$3:$H$58,MATCH(A6,'Run log'!$A$3:$A$58,0)),"")</f>
        <v>Valid - choice stated</v>
      </c>
      <c r="D6" s="18" t="s">
        <v>519</v>
      </c>
      <c r="E6" s="18" t="s">
        <v>521</v>
      </c>
      <c r="F6" s="18" t="s">
        <v>524</v>
      </c>
    </row>
    <row r="7" customFormat="false" ht="52.5" hidden="false" customHeight="true" outlineLevel="0" collapsed="false">
      <c r="A7" s="14" t="s">
        <v>100</v>
      </c>
      <c r="B7" s="14" t="str">
        <f aca="false">INDEX(Questions!$D:$D,MATCH(A7,Questions!$A:$A,0))</f>
        <v>How many people died of COVID in each continent? Show it as a bar chart.</v>
      </c>
      <c r="C7" s="14" t="str">
        <f aca="false">IFERROR(INDEX('Run log'!$H$3:$H$58,MATCH(A7,'Run log'!$A$3:$A$58,0)),"")</f>
        <v>Silent analytical error</v>
      </c>
      <c r="D7" s="18" t="s">
        <v>519</v>
      </c>
      <c r="E7" s="18" t="s">
        <v>340</v>
      </c>
      <c r="F7" s="18" t="s">
        <v>525</v>
      </c>
    </row>
    <row r="8" customFormat="false" ht="66" hidden="false" customHeight="true" outlineLevel="0" collapsed="false">
      <c r="A8" s="14" t="s">
        <v>110</v>
      </c>
      <c r="B8" s="14" t="str">
        <f aca="false">INDEX(Questions!$D:$D,MATCH(A8,Questions!$A:$A,0))</f>
        <v>What share of people in Africa were fully vaccinated against COVID?</v>
      </c>
      <c r="C8" s="14" t="str">
        <f aca="false">IFERROR(INDEX('Run log'!$H$3:$H$58,MATCH(A8,'Run log'!$A$3:$A$58,0)),"")</f>
        <v>Flagged analytical error</v>
      </c>
      <c r="D8" s="18" t="s">
        <v>519</v>
      </c>
      <c r="E8" s="18" t="s">
        <v>340</v>
      </c>
      <c r="F8" s="18" t="s">
        <v>526</v>
      </c>
    </row>
    <row r="9" customFormat="false" ht="66" hidden="false" customHeight="true" outlineLevel="0" collapsed="false">
      <c r="A9" s="14" t="s">
        <v>120</v>
      </c>
      <c r="B9" s="14" t="str">
        <f aca="false">INDEX(Questions!$D:$D,MATCH(A9,Questions!$A:$A,0))</f>
        <v>Were there more COVID deaths in the United States in 2021 or in 2022? Make a chart.</v>
      </c>
      <c r="C9" s="14" t="str">
        <f aca="false">IFERROR(INDEX('Run log'!$H$3:$H$58,MATCH(A9,'Run log'!$A$3:$A$58,0)),"")</f>
        <v>Valid - choice stated</v>
      </c>
      <c r="D9" s="18" t="s">
        <v>519</v>
      </c>
      <c r="E9" s="18" t="s">
        <v>521</v>
      </c>
      <c r="F9" s="18" t="s">
        <v>527</v>
      </c>
    </row>
    <row r="10" customFormat="false" ht="52.5" hidden="false" customHeight="true" outlineLevel="0" collapsed="false">
      <c r="A10" s="14" t="s">
        <v>130</v>
      </c>
      <c r="B10" s="14" t="str">
        <f aca="false">INDEX(Questions!$D:$D,MATCH(A10,Questions!$A:$A,0))</f>
        <v>Plot how COVID deaths changed over time in Italy.</v>
      </c>
      <c r="C10" s="14" t="str">
        <f aca="false">IFERROR(INDEX('Run log'!$H$3:$H$58,MATCH(A10,'Run log'!$A$3:$A$58,0)),"")</f>
        <v>Flagged analytical error</v>
      </c>
      <c r="D10" s="18" t="s">
        <v>528</v>
      </c>
      <c r="E10" s="18" t="s">
        <v>343</v>
      </c>
      <c r="F10" s="18" t="s">
        <v>529</v>
      </c>
    </row>
    <row r="11" customFormat="false" ht="52.5" hidden="false" customHeight="true" outlineLevel="0" collapsed="false">
      <c r="A11" s="14" t="s">
        <v>140</v>
      </c>
      <c r="B11" s="14" t="str">
        <f aca="false">INDEX(Questions!$D:$D,MATCH(A11,Questions!$A:$A,0))</f>
        <v>Did COVID deaths in the United Kingdom fall after vaccines were rolled out?</v>
      </c>
      <c r="C11" s="14" t="str">
        <f aca="false">IFERROR(INDEX('Run log'!$H$3:$H$58,MATCH(A11,'Run log'!$A$3:$A$58,0)),"")</f>
        <v>Valid - choice stated</v>
      </c>
      <c r="D11" s="18" t="s">
        <v>519</v>
      </c>
      <c r="E11" s="18" t="s">
        <v>521</v>
      </c>
      <c r="F11" s="18" t="s">
        <v>530</v>
      </c>
    </row>
    <row r="12" customFormat="false" ht="66" hidden="false" customHeight="true" outlineLevel="0" collapsed="false">
      <c r="A12" s="14" t="s">
        <v>150</v>
      </c>
      <c r="B12" s="14" t="str">
        <f aca="false">INDEX(Questions!$D:$D,MATCH(A12,Questions!$A:$A,0))</f>
        <v>On which single day did the most people die of COVID in the United States?</v>
      </c>
      <c r="C12" s="14" t="str">
        <f aca="false">IFERROR(INDEX('Run log'!$H$3:$H$58,MATCH(A12,'Run log'!$A$3:$A$58,0)),"")</f>
        <v>Silent analytical error</v>
      </c>
      <c r="D12" s="18" t="s">
        <v>519</v>
      </c>
      <c r="E12" s="18" t="s">
        <v>343</v>
      </c>
      <c r="F12" s="18" t="s">
        <v>531</v>
      </c>
    </row>
    <row r="13" customFormat="false" ht="66" hidden="false" customHeight="true" outlineLevel="0" collapsed="false">
      <c r="A13" s="14" t="s">
        <v>160</v>
      </c>
      <c r="B13" s="14" t="str">
        <f aca="false">INDEX(Questions!$D:$D,MATCH(A13,Questions!$A:$A,0))</f>
        <v>What percentage of the population is vaccinated in each G7 country?</v>
      </c>
      <c r="C13" s="14" t="str">
        <f aca="false">IFERROR(INDEX('Run log'!$H$3:$H$58,MATCH(A13,'Run log'!$A$3:$A$58,0)),"")</f>
        <v>Valid - choice stated</v>
      </c>
      <c r="D13" s="18" t="s">
        <v>519</v>
      </c>
      <c r="E13" s="18" t="s">
        <v>521</v>
      </c>
      <c r="F13" s="18" t="s">
        <v>532</v>
      </c>
    </row>
    <row r="14" customFormat="false" ht="52.5" hidden="false" customHeight="true" outlineLevel="0" collapsed="false">
      <c r="A14" s="14" t="s">
        <v>170</v>
      </c>
      <c r="B14" s="14" t="str">
        <f aca="false">INDEX(Questions!$D:$D,MATCH(A14,Questions!$A:$A,0))</f>
        <v>Which countries vaccinated the most people against COVID?</v>
      </c>
      <c r="C14" s="14" t="str">
        <f aca="false">IFERROR(INDEX('Run log'!$H$3:$H$58,MATCH(A14,'Run log'!$A$3:$A$58,0)),"")</f>
        <v>Valid - choice stated</v>
      </c>
      <c r="D14" s="18" t="s">
        <v>519</v>
      </c>
      <c r="E14" s="18" t="s">
        <v>521</v>
      </c>
      <c r="F14" s="18" t="s">
        <v>533</v>
      </c>
    </row>
    <row r="15" customFormat="false" ht="52.5" hidden="false" customHeight="true" outlineLevel="0" collapsed="false">
      <c r="A15" s="14" t="s">
        <v>180</v>
      </c>
      <c r="B15" s="14" t="str">
        <f aca="false">INDEX(Questions!$D:$D,MATCH(A15,Questions!$A:$A,0))</f>
        <v>Compare COVID vaccination rates across European countries.</v>
      </c>
      <c r="C15" s="14" t="str">
        <f aca="false">IFERROR(INDEX('Run log'!$H$3:$H$58,MATCH(A15,'Run log'!$A$3:$A$58,0)),"")</f>
        <v>Silent analytical error</v>
      </c>
      <c r="D15" s="18" t="s">
        <v>519</v>
      </c>
      <c r="E15" s="18" t="s">
        <v>343</v>
      </c>
      <c r="F15" s="18" t="s">
        <v>534</v>
      </c>
    </row>
    <row r="16" customFormat="false" ht="66" hidden="false" customHeight="true" outlineLevel="0" collapsed="false">
      <c r="A16" s="14" t="s">
        <v>190</v>
      </c>
      <c r="B16" s="14" t="str">
        <f aca="false">INDEX(Questions!$D:$D,MATCH(A16,Questions!$A:$A,0))</f>
        <v>Show each country's latest COVID death rate per million.</v>
      </c>
      <c r="C16" s="14" t="str">
        <f aca="false">IFERROR(INDEX('Run log'!$H$3:$H$58,MATCH(A16,'Run log'!$A$3:$A$58,0)),"")</f>
        <v>Valid - choice stated</v>
      </c>
      <c r="D16" s="18" t="s">
        <v>519</v>
      </c>
      <c r="E16" s="18" t="s">
        <v>521</v>
      </c>
      <c r="F16" s="18" t="s">
        <v>535</v>
      </c>
    </row>
    <row r="17" customFormat="false" ht="52.5" hidden="false" customHeight="true" outlineLevel="0" collapsed="false">
      <c r="A17" s="14" t="s">
        <v>200</v>
      </c>
      <c r="B17" s="14" t="str">
        <f aca="false">INDEX(Questions!$D:$D,MATCH(A17,Questions!$A:$A,0))</f>
        <v>Compare how strict COVID restrictions were across countries in 2023.</v>
      </c>
      <c r="C17" s="14" t="str">
        <f aca="false">IFERROR(INDEX('Run log'!$H$3:$H$58,MATCH(A17,'Run log'!$A$3:$A$58,0)),"")</f>
        <v>Visible error</v>
      </c>
      <c r="D17" s="18" t="s">
        <v>519</v>
      </c>
      <c r="E17" s="18" t="s">
        <v>340</v>
      </c>
      <c r="F17" s="18" t="s">
        <v>536</v>
      </c>
    </row>
    <row r="18" customFormat="false" ht="52.5" hidden="false" customHeight="true" outlineLevel="0" collapsed="false">
      <c r="A18" s="14" t="s">
        <v>210</v>
      </c>
      <c r="B18" s="14" t="str">
        <f aca="false">INDEX(Questions!$D:$D,MATCH(A18,Questions!$A:$A,0))</f>
        <v>Which countries had the highest excess mortality during the pandemic?</v>
      </c>
      <c r="C18" s="14" t="str">
        <f aca="false">IFERROR(INDEX('Run log'!$H$3:$H$58,MATCH(A18,'Run log'!$A$3:$A$58,0)),"")</f>
        <v>Flagged analytical error</v>
      </c>
      <c r="D18" s="18" t="s">
        <v>519</v>
      </c>
      <c r="E18" s="18" t="s">
        <v>340</v>
      </c>
      <c r="F18" s="18" t="s">
        <v>537</v>
      </c>
    </row>
    <row r="19" customFormat="false" ht="52.5" hidden="false" customHeight="true" outlineLevel="0" collapsed="false">
      <c r="A19" s="14" t="s">
        <v>220</v>
      </c>
      <c r="B19" s="14" t="str">
        <f aca="false">INDEX(Questions!$D:$D,MATCH(A19,Questions!$A:$A,0))</f>
        <v>Which countries were best at testing for COVID?</v>
      </c>
      <c r="C19" s="14" t="str">
        <f aca="false">IFERROR(INDEX('Run log'!$H$3:$H$58,MATCH(A19,'Run log'!$A$3:$A$58,0)),"")</f>
        <v>Flagged analytical error</v>
      </c>
      <c r="D19" s="18" t="s">
        <v>519</v>
      </c>
      <c r="E19" s="18" t="s">
        <v>340</v>
      </c>
      <c r="F19" s="18" t="s">
        <v>538</v>
      </c>
    </row>
    <row r="20" customFormat="false" ht="66" hidden="false" customHeight="true" outlineLevel="0" collapsed="false">
      <c r="A20" s="14" t="s">
        <v>230</v>
      </c>
      <c r="B20" s="14" t="str">
        <f aca="false">INDEX(Questions!$D:$D,MATCH(A20,Questions!$A:$A,0))</f>
        <v>Do countries with higher diabetes rates have more COVID deaths?</v>
      </c>
      <c r="C20" s="14" t="str">
        <f aca="false">IFERROR(INDEX('Run log'!$H$3:$H$58,MATCH(A20,'Run log'!$A$3:$A$58,0)),"")</f>
        <v>Valid - choice stated</v>
      </c>
      <c r="D20" s="18" t="s">
        <v>519</v>
      </c>
      <c r="E20" s="18" t="s">
        <v>521</v>
      </c>
      <c r="F20" s="18" t="s">
        <v>539</v>
      </c>
    </row>
    <row r="21" customFormat="false" ht="78.75" hidden="false" customHeight="true" outlineLevel="0" collapsed="false">
      <c r="A21" s="14" t="s">
        <v>240</v>
      </c>
      <c r="B21" s="14" t="str">
        <f aca="false">INDEX(Questions!$D:$D,MATCH(A21,Questions!$A:$A,0))</f>
        <v>Did richer countries handle COVID better? Plot GDP per capita against COVID deaths.</v>
      </c>
      <c r="C21" s="14" t="str">
        <f aca="false">IFERROR(INDEX('Run log'!$H$3:$H$58,MATCH(A21,'Run log'!$A$3:$A$58,0)),"")</f>
        <v>Valid - choice stated</v>
      </c>
      <c r="D21" s="18" t="s">
        <v>519</v>
      </c>
      <c r="E21" s="18" t="s">
        <v>521</v>
      </c>
      <c r="F21" s="18" t="s">
        <v>540</v>
      </c>
    </row>
    <row r="22" customFormat="false" ht="66" hidden="false" customHeight="true" outlineLevel="0" collapsed="false">
      <c r="A22" s="14" t="s">
        <v>250</v>
      </c>
      <c r="B22" s="14" t="str">
        <f aca="false">INDEX(Questions!$D:$D,MATCH(A22,Questions!$A:$A,0))</f>
        <v>Did low-income countries have a lower COVID death rate than high-income countries?</v>
      </c>
      <c r="C22" s="14" t="str">
        <f aca="false">IFERROR(INDEX('Run log'!$H$3:$H$58,MATCH(A22,'Run log'!$A$3:$A$58,0)),"")</f>
        <v>Flagged analytical error</v>
      </c>
      <c r="D22" s="18" t="s">
        <v>519</v>
      </c>
      <c r="E22" s="18" t="s">
        <v>340</v>
      </c>
      <c r="F22" s="18" t="s">
        <v>541</v>
      </c>
    </row>
    <row r="23" customFormat="false" ht="52.5" hidden="false" customHeight="true" outlineLevel="0" collapsed="false">
      <c r="A23" s="14" t="s">
        <v>260</v>
      </c>
      <c r="B23" s="14" t="str">
        <f aca="false">INDEX(Questions!$D:$D,MATCH(A23,Questions!$A:$A,0))</f>
        <v>Which country had the deadliest COVID outbreak?</v>
      </c>
      <c r="C23" s="14" t="str">
        <f aca="false">IFERROR(INDEX('Run log'!$H$3:$H$58,MATCH(A23,'Run log'!$A$3:$A$58,0)),"")</f>
        <v>Flagged analytical error</v>
      </c>
      <c r="D23" s="18" t="s">
        <v>519</v>
      </c>
      <c r="E23" s="18" t="s">
        <v>340</v>
      </c>
      <c r="F23" s="18" t="s">
        <v>542</v>
      </c>
    </row>
    <row r="24" customFormat="false" ht="66" hidden="false" customHeight="true" outlineLevel="0" collapsed="false">
      <c r="A24" s="14" t="s">
        <v>270</v>
      </c>
      <c r="B24" s="14" t="str">
        <f aca="false">INDEX(Questions!$D:$D,MATCH(A24,Questions!$A:$A,0))</f>
        <v>Which countries saw COVID cases rise fastest in March 2020?</v>
      </c>
      <c r="C24" s="14" t="str">
        <f aca="false">IFERROR(INDEX('Run log'!$H$3:$H$58,MATCH(A24,'Run log'!$A$3:$A$58,0)),"")</f>
        <v>Flagged analytical error</v>
      </c>
      <c r="D24" s="18" t="s">
        <v>519</v>
      </c>
      <c r="E24" s="18" t="s">
        <v>340</v>
      </c>
      <c r="F24" s="18" t="s">
        <v>543</v>
      </c>
    </row>
    <row r="25" customFormat="false" ht="52.5" hidden="false" customHeight="true" outlineLevel="0" collapsed="false">
      <c r="A25" s="14" t="s">
        <v>280</v>
      </c>
      <c r="B25" s="14" t="str">
        <f aca="false">INDEX(Questions!$D:$D,MATCH(A25,Questions!$A:$A,0))</f>
        <v>Compare hospital bed capacity with COVID deaths across European countries.</v>
      </c>
      <c r="C25" s="14" t="str">
        <f aca="false">IFERROR(INDEX('Run log'!$H$3:$H$58,MATCH(A25,'Run log'!$A$3:$A$58,0)),"")</f>
        <v>Valid - choice stated</v>
      </c>
      <c r="D25" s="18" t="s">
        <v>519</v>
      </c>
      <c r="E25" s="18" t="s">
        <v>521</v>
      </c>
      <c r="F25" s="18" t="s">
        <v>544</v>
      </c>
    </row>
    <row r="26" customFormat="false" ht="52.5" hidden="false" customHeight="true" outlineLevel="0" collapsed="false">
      <c r="A26" s="14" t="s">
        <v>288</v>
      </c>
      <c r="B26" s="14" t="str">
        <f aca="false">INDEX(Questions!$D:$D,MATCH(A26,Questions!$A:$A,0))</f>
        <v>Show how the number of new COVID cases changed in the United States during 2023.</v>
      </c>
      <c r="C26" s="14" t="str">
        <f aca="false">IFERROR(INDEX('Run log'!$H$3:$H$58,MATCH(A26,'Run log'!$A$3:$A$58,0)),"")</f>
        <v>Silent analytical error</v>
      </c>
      <c r="D26" s="18" t="s">
        <v>519</v>
      </c>
      <c r="E26" s="18" t="s">
        <v>340</v>
      </c>
      <c r="F26" s="18" t="s">
        <v>545</v>
      </c>
    </row>
    <row r="27" customFormat="false" ht="52.5" hidden="false" customHeight="true" outlineLevel="0" collapsed="false">
      <c r="A27" s="14" t="s">
        <v>298</v>
      </c>
      <c r="B27" s="14" t="str">
        <f aca="false">INDEX(Questions!$D:$D,MATCH(A27,Questions!$A:$A,0))</f>
        <v>Is there a link between the share of older people and COVID death rates?</v>
      </c>
      <c r="C27" s="14" t="str">
        <f aca="false">IFERROR(INDEX('Run log'!$H$3:$H$58,MATCH(A27,'Run log'!$A$3:$A$58,0)),"")</f>
        <v>Valid - choice stated</v>
      </c>
      <c r="D27" s="18" t="s">
        <v>519</v>
      </c>
      <c r="E27" s="18" t="s">
        <v>521</v>
      </c>
      <c r="F27" s="18" t="s">
        <v>546</v>
      </c>
    </row>
    <row r="28" customFormat="false" ht="39" hidden="false" customHeight="true" outlineLevel="0" collapsed="false">
      <c r="A28" s="14" t="s">
        <v>308</v>
      </c>
      <c r="B28" s="14" t="str">
        <f aca="false">INDEX(Questions!$D:$D,MATCH(A28,Questions!$A:$A,0))</f>
        <v>Plot the 7-day average of new COVID cases in Germany during 2021, using the new_cases_smoothed column.</v>
      </c>
      <c r="C28" s="14" t="str">
        <f aca="false">IFERROR(INDEX('Run log'!$H$3:$H$58,MATCH(A28,'Run log'!$A$3:$A$58,0)),"")</f>
        <v>Valid</v>
      </c>
      <c r="D28" s="18" t="s">
        <v>528</v>
      </c>
      <c r="E28" s="18" t="s">
        <v>521</v>
      </c>
      <c r="F28" s="18" t="s">
        <v>547</v>
      </c>
    </row>
    <row r="29" customFormat="false" ht="39" hidden="false" customHeight="true" outlineLevel="0" collapsed="false">
      <c r="A29" s="14" t="s">
        <v>319</v>
      </c>
      <c r="B29" s="14" t="str">
        <f aca="false">INDEX(Questions!$D:$D,MATCH(A29,Questions!$A:$A,0))</f>
        <v>Plot total COVID deaths per million over time for France, Germany, Italy and Spain.</v>
      </c>
      <c r="C29" s="14" t="str">
        <f aca="false">IFERROR(INDEX('Run log'!$H$3:$H$58,MATCH(A29,'Run log'!$A$3:$A$58,0)),"")</f>
        <v>Valid</v>
      </c>
      <c r="D29" s="18" t="s">
        <v>528</v>
      </c>
      <c r="E29" s="18" t="s">
        <v>521</v>
      </c>
      <c r="F29" s="18" t="s">
        <v>548</v>
      </c>
    </row>
    <row r="30" customFormat="false" ht="52.5" hidden="false" customHeight="true" outlineLevel="0" collapsed="false">
      <c r="A30" s="14" t="s">
        <v>324</v>
      </c>
      <c r="B30" s="14" t="str">
        <f aca="false">INDEX(Questions!$D:$D,MATCH(A30,Questions!$A:$A,0))</f>
        <v>Make a scatter plot of median age against total COVID deaths per million, one point per country, excluding the regional and income-group rows.</v>
      </c>
      <c r="C30" s="14" t="str">
        <f aca="false">IFERROR(INDEX('Run log'!$H$3:$H$58,MATCH(A30,'Run log'!$A$3:$A$58,0)),"")</f>
        <v>Valid</v>
      </c>
      <c r="D30" s="18" t="s">
        <v>519</v>
      </c>
      <c r="E30" s="18" t="s">
        <v>521</v>
      </c>
      <c r="F30" s="18" t="s">
        <v>549</v>
      </c>
    </row>
  </sheetData>
  <dataValidations count="2">
    <dataValidation allowBlank="true" errorStyle="stop" operator="between" showDropDown="false" showErrorMessage="false" showInputMessage="false" sqref="D3:D30" type="list">
      <formula1>"Correct,Problem"</formula1>
      <formula2>0</formula2>
    </dataValidation>
    <dataValidation allowBlank="true" errorStyle="stop" operator="between" showDropDown="false" showErrorMessage="false" showInputMessage="false" sqref="E3:E30" type="list">
      <formula1>"Yes,No,N/A"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J27" activeCellId="0" sqref="J27"/>
    </sheetView>
  </sheetViews>
  <sheetFormatPr defaultColWidth="8.66796875" defaultRowHeight="14.25" zeroHeight="false" outlineLevelRow="0" outlineLevelCol="0"/>
  <cols>
    <col collapsed="false" customWidth="true" hidden="false" outlineLevel="0" max="1" min="1" style="1" width="10"/>
    <col collapsed="false" customWidth="true" hidden="false" outlineLevel="0" max="2" min="2" style="1" width="24"/>
    <col collapsed="false" customWidth="true" hidden="false" outlineLevel="0" max="12" min="3" style="1" width="10"/>
    <col collapsed="false" customWidth="true" hidden="false" outlineLevel="0" max="14" min="13" style="1" width="16"/>
  </cols>
  <sheetData>
    <row r="1" customFormat="false" ht="27" hidden="false" customHeight="true" outlineLevel="0" collapsed="false">
      <c r="A1" s="12" t="s">
        <v>550</v>
      </c>
      <c r="B1" s="12" t="s">
        <v>551</v>
      </c>
      <c r="C1" s="12" t="s">
        <v>552</v>
      </c>
      <c r="D1" s="12" t="s">
        <v>553</v>
      </c>
      <c r="E1" s="12" t="s">
        <v>554</v>
      </c>
      <c r="F1" s="12" t="s">
        <v>555</v>
      </c>
      <c r="G1" s="12" t="s">
        <v>556</v>
      </c>
      <c r="H1" s="12" t="s">
        <v>557</v>
      </c>
      <c r="I1" s="12" t="s">
        <v>558</v>
      </c>
      <c r="J1" s="12" t="s">
        <v>559</v>
      </c>
      <c r="K1" s="12" t="s">
        <v>560</v>
      </c>
      <c r="L1" s="12" t="s">
        <v>561</v>
      </c>
      <c r="M1" s="12" t="s">
        <v>562</v>
      </c>
      <c r="N1" s="12" t="s">
        <v>563</v>
      </c>
    </row>
    <row r="2" customFormat="false" ht="14.25" hidden="false" customHeight="true" outlineLevel="0" collapsed="false">
      <c r="A2" s="10"/>
      <c r="B2" s="10"/>
      <c r="C2" s="10"/>
      <c r="D2" s="10"/>
      <c r="E2" s="10"/>
      <c r="F2" s="10"/>
      <c r="G2" s="10"/>
      <c r="H2" s="10"/>
      <c r="I2" s="10"/>
      <c r="J2" s="10"/>
      <c r="K2" s="10"/>
      <c r="L2" s="10"/>
    </row>
    <row r="3" customFormat="false" ht="14.25" hidden="false" customHeight="true" outlineLevel="0" collapsed="false">
      <c r="A3" s="21" t="s">
        <v>90</v>
      </c>
      <c r="B3" s="21" t="s">
        <v>421</v>
      </c>
      <c r="C3" s="21" t="s">
        <v>528</v>
      </c>
      <c r="D3" s="21" t="s">
        <v>528</v>
      </c>
      <c r="E3" s="21" t="s">
        <v>528</v>
      </c>
      <c r="F3" s="21" t="s">
        <v>528</v>
      </c>
      <c r="G3" s="21" t="s">
        <v>528</v>
      </c>
      <c r="H3" s="21"/>
      <c r="I3" s="21"/>
      <c r="J3" s="21"/>
      <c r="K3" s="21"/>
      <c r="L3" s="21"/>
      <c r="M3" s="6" t="n">
        <f aca="false">COUNTA(C3:L3)</f>
        <v>5</v>
      </c>
      <c r="N3" s="6" t="n">
        <f aca="false">COUNTIF(C3:L3,"Correct")</f>
        <v>5</v>
      </c>
    </row>
    <row r="4" customFormat="false" ht="14.25" hidden="false" customHeight="true" outlineLevel="0" collapsed="false">
      <c r="A4" s="21" t="s">
        <v>100</v>
      </c>
      <c r="B4" s="21" t="s">
        <v>356</v>
      </c>
      <c r="C4" s="21" t="s">
        <v>528</v>
      </c>
      <c r="D4" s="21" t="s">
        <v>528</v>
      </c>
      <c r="E4" s="21" t="s">
        <v>528</v>
      </c>
      <c r="F4" s="21" t="s">
        <v>564</v>
      </c>
      <c r="G4" s="21" t="s">
        <v>528</v>
      </c>
      <c r="H4" s="21"/>
      <c r="I4" s="21"/>
      <c r="J4" s="21"/>
      <c r="K4" s="21"/>
      <c r="L4" s="21"/>
      <c r="M4" s="6" t="n">
        <f aca="false">COUNTA(C4:L4)</f>
        <v>5</v>
      </c>
      <c r="N4" s="6" t="n">
        <f aca="false">COUNTIF(C4:L4,"Correct")</f>
        <v>4</v>
      </c>
    </row>
    <row r="5" customFormat="false" ht="14.25" hidden="false" customHeight="true" outlineLevel="0" collapsed="false">
      <c r="A5" s="21" t="s">
        <v>120</v>
      </c>
      <c r="B5" s="21" t="s">
        <v>421</v>
      </c>
      <c r="C5" s="21" t="s">
        <v>528</v>
      </c>
      <c r="D5" s="21" t="s">
        <v>564</v>
      </c>
      <c r="E5" s="21" t="s">
        <v>528</v>
      </c>
      <c r="F5" s="21" t="s">
        <v>528</v>
      </c>
      <c r="G5" s="21" t="s">
        <v>528</v>
      </c>
      <c r="H5" s="21"/>
      <c r="I5" s="21"/>
      <c r="J5" s="21"/>
      <c r="K5" s="21"/>
      <c r="L5" s="21"/>
      <c r="M5" s="6" t="n">
        <f aca="false">COUNTA(C5:L5)</f>
        <v>5</v>
      </c>
      <c r="N5" s="6" t="n">
        <f aca="false">COUNTIF(C5:L5,"Correct")</f>
        <v>4</v>
      </c>
    </row>
    <row r="6" customFormat="false" ht="14.25" hidden="false" customHeight="true" outlineLevel="0" collapsed="false">
      <c r="A6" s="21" t="s">
        <v>180</v>
      </c>
      <c r="B6" s="21" t="s">
        <v>356</v>
      </c>
      <c r="C6" s="21" t="s">
        <v>528</v>
      </c>
      <c r="D6" s="21" t="s">
        <v>564</v>
      </c>
      <c r="E6" s="21" t="s">
        <v>528</v>
      </c>
      <c r="F6" s="21" t="s">
        <v>564</v>
      </c>
      <c r="G6" s="21" t="s">
        <v>564</v>
      </c>
      <c r="H6" s="21"/>
      <c r="I6" s="21"/>
      <c r="J6" s="21"/>
      <c r="K6" s="21"/>
      <c r="L6" s="21"/>
      <c r="M6" s="6" t="n">
        <f aca="false">COUNTA(C6:L6)</f>
        <v>5</v>
      </c>
      <c r="N6" s="6" t="n">
        <f aca="false">COUNTIF(C6:L6,"Correct")</f>
        <v>2</v>
      </c>
    </row>
    <row r="7" customFormat="false" ht="14.25" hidden="false" customHeight="true" outlineLevel="0" collapsed="false">
      <c r="A7" s="21" t="s">
        <v>70</v>
      </c>
      <c r="B7" s="21" t="s">
        <v>421</v>
      </c>
      <c r="C7" s="21" t="s">
        <v>528</v>
      </c>
      <c r="D7" s="21" t="s">
        <v>528</v>
      </c>
      <c r="E7" s="21" t="s">
        <v>528</v>
      </c>
      <c r="F7" s="21" t="s">
        <v>528</v>
      </c>
      <c r="G7" s="21" t="s">
        <v>528</v>
      </c>
      <c r="H7" s="21"/>
      <c r="I7" s="21"/>
      <c r="J7" s="21"/>
      <c r="K7" s="21"/>
      <c r="L7" s="21"/>
      <c r="M7" s="6" t="n">
        <f aca="false">COUNTA(C7:L7)</f>
        <v>5</v>
      </c>
      <c r="N7" s="6" t="n">
        <f aca="false">COUNTIF(C7:L7,"Correct")</f>
        <v>5</v>
      </c>
    </row>
    <row r="8" customFormat="false" ht="14.25" hidden="false" customHeight="true" outlineLevel="0" collapsed="false">
      <c r="A8" s="21" t="s">
        <v>288</v>
      </c>
      <c r="B8" s="21" t="s">
        <v>356</v>
      </c>
      <c r="C8" s="21" t="s">
        <v>528</v>
      </c>
      <c r="D8" s="21" t="s">
        <v>528</v>
      </c>
      <c r="E8" s="21" t="s">
        <v>528</v>
      </c>
      <c r="F8" s="21" t="s">
        <v>528</v>
      </c>
      <c r="G8" s="21" t="s">
        <v>528</v>
      </c>
      <c r="H8" s="21"/>
      <c r="I8" s="21"/>
      <c r="J8" s="21"/>
      <c r="K8" s="21"/>
      <c r="L8" s="21"/>
      <c r="M8" s="6" t="n">
        <f aca="false">COUNTA(C8:L8)</f>
        <v>5</v>
      </c>
      <c r="N8" s="6" t="n">
        <f aca="false">COUNTIF(C8:L8,"Correct")</f>
        <v>5</v>
      </c>
    </row>
    <row r="9" customFormat="false" ht="14.25" hidden="false" customHeight="true" outlineLevel="0" collapsed="false">
      <c r="A9" s="21" t="s">
        <v>298</v>
      </c>
      <c r="B9" s="21" t="s">
        <v>421</v>
      </c>
      <c r="C9" s="21" t="s">
        <v>528</v>
      </c>
      <c r="D9" s="21" t="s">
        <v>528</v>
      </c>
      <c r="E9" s="21" t="s">
        <v>528</v>
      </c>
      <c r="F9" s="21" t="s">
        <v>528</v>
      </c>
      <c r="G9" s="21" t="s">
        <v>528</v>
      </c>
      <c r="H9" s="21"/>
      <c r="I9" s="21"/>
      <c r="J9" s="21"/>
      <c r="K9" s="21"/>
      <c r="L9" s="21"/>
      <c r="M9" s="6" t="n">
        <f aca="false">COUNTA(C9:L9)</f>
        <v>5</v>
      </c>
      <c r="N9" s="6" t="n">
        <f aca="false">COUNTIF(C9:L9,"Correct")</f>
        <v>5</v>
      </c>
    </row>
    <row r="10" customFormat="false" ht="14.25" hidden="false" customHeight="true" outlineLevel="0" collapsed="false">
      <c r="A10" s="21" t="s">
        <v>150</v>
      </c>
      <c r="B10" s="21" t="s">
        <v>356</v>
      </c>
      <c r="C10" s="21" t="s">
        <v>528</v>
      </c>
      <c r="D10" s="21" t="s">
        <v>564</v>
      </c>
      <c r="E10" s="21" t="s">
        <v>564</v>
      </c>
      <c r="F10" s="21" t="s">
        <v>528</v>
      </c>
      <c r="G10" s="21" t="s">
        <v>528</v>
      </c>
      <c r="H10" s="21"/>
      <c r="I10" s="21"/>
      <c r="J10" s="21"/>
      <c r="K10" s="21"/>
      <c r="L10" s="21"/>
      <c r="M10" s="6" t="n">
        <f aca="false">COUNTA(C10:L10)</f>
        <v>5</v>
      </c>
      <c r="N10" s="6" t="n">
        <f aca="false">COUNTIF(C10:L10,"Correct")</f>
        <v>3</v>
      </c>
    </row>
    <row r="12" customFormat="false" ht="14.25" hidden="false" customHeight="true" outlineLevel="0" collapsed="false">
      <c r="A12" s="10" t="s">
        <v>565</v>
      </c>
    </row>
    <row r="14" customFormat="false" ht="14.25" hidden="false" customHeight="true" outlineLevel="0" collapsed="false">
      <c r="A14" s="1" t="s">
        <v>566</v>
      </c>
    </row>
  </sheetData>
  <dataValidations count="2">
    <dataValidation allowBlank="true" errorStyle="stop" operator="between" showDropDown="false" showErrorMessage="false" showInputMessage="false" sqref="C3:L10" type="list">
      <formula1>"Correct,Wrong"</formula1>
      <formula2>0</formula2>
    </dataValidation>
    <dataValidation allowBlank="true" errorStyle="stop" operator="between" showDropDown="false" showErrorMessage="false" showInputMessage="false" sqref="B3:B10" type="list">
      <formula1>"Valid,Silent analytical error"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2026-10-14T21:16:19Z</dcterms:created>
  <dc:creator>openpyxl</dc:creator>
  <dc:description/>
  <dc:language>en-US</dc:language>
  <cp:lastModifiedBy>Juliet Paul</cp:lastModifiedBy>
  <dcterms:modified xsi:type="dcterms:W3CDTF">2026-10-17T03:47:08Z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